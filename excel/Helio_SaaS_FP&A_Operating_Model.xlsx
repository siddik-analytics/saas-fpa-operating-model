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17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18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19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worksheets/sheet20.xml" ContentType="application/vnd.openxmlformats-officedocument.spreadsheetml.worksheet+xml"/>
  <Override PartName="/xl/tables/table36.xml" ContentType="application/vnd.openxmlformats-officedocument.spreadsheetml.table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RR &amp; Retention" sheetId="2" state="visible" r:id="rId2"/>
    <sheet name="GTM" sheetId="3" state="visible" r:id="rId3"/>
    <sheet name="Forecast" sheetId="4" state="visible" r:id="rId4"/>
    <sheet name="P&amp;L" sheetId="5" state="visible" r:id="rId5"/>
    <sheet name="Budget Bridge" sheetId="6" state="visible" r:id="rId6"/>
    <sheet name="Scenarios" sheetId="7" state="visible" r:id="rId7"/>
    <sheet name="Runway &amp; Hiring" sheetId="8" state="visible" r:id="rId8"/>
    <sheet name="Accounting" sheetId="9" state="visible" r:id="rId9"/>
    <sheet name="Assumptions" sheetId="10" state="visible" r:id="rId10"/>
    <sheet name="Controls" sheetId="11" state="visible" r:id="rId11"/>
    <sheet name="Data_ARR" sheetId="12" state="hidden" r:id="rId12"/>
    <sheet name="Data_Retention" sheetId="13" state="hidden" r:id="rId13"/>
    <sheet name="Data_GTM" sheetId="14" state="hidden" r:id="rId14"/>
    <sheet name="Data_PnL" sheetId="15" state="hidden" r:id="rId15"/>
    <sheet name="Data_Bridge" sheetId="16" state="hidden" r:id="rId16"/>
    <sheet name="Data_Scenario" sheetId="17" state="hidden" r:id="rId17"/>
    <sheet name="Data_Runway" sheetId="18" state="hidden" r:id="rId18"/>
    <sheet name="Data_Accounting" sheetId="19" state="hidden" r:id="rId19"/>
    <sheet name="Data_Commentary" sheetId="20" state="hidden" r:id="rId20"/>
    <sheet name="Chart_Data" sheetId="21" state="hidden" r:id="rId21"/>
  </sheets>
  <definedNames>
    <definedName name="_xlnm.Print_Area" localSheetId="0">'Executive Summary'!$B$1:$H$59</definedName>
    <definedName name="_xlnm.Print_Area" localSheetId="1">'ARR &amp; Retention'!$B$1:$J$83</definedName>
    <definedName name="_xlnm.Print_Area" localSheetId="2">'GTM'!$B$1:$G$75</definedName>
    <definedName name="_xlnm.Print_Area" localSheetId="3">'Forecast'!$B$1:$P$43</definedName>
    <definedName name="_xlnm.Print_Area" localSheetId="4">'P&amp;L'!$B$1:$J$49</definedName>
    <definedName name="_xlnm.Print_Area" localSheetId="5">'Budget Bridge'!$B$1:$D$105</definedName>
    <definedName name="_xlnm.Print_Area" localSheetId="6">'Scenarios'!$B$1:$E$59</definedName>
    <definedName name="_xlnm.Print_Area" localSheetId="7">'Runway &amp; Hiring'!$B$1:$G$55</definedName>
    <definedName name="_xlnm.Print_Area" localSheetId="8">'Accounting'!$B$1:$I$80</definedName>
    <definedName name="_xlnm.Print_Area" localSheetId="9">'Assumptions'!$B$1:$F$44</definedName>
    <definedName name="_xlnm.Print_Area" localSheetId="10">'Controls'!$B$1:$F$57</definedName>
  </definedNames>
  <calcPr calcId="124519" fullCalcOnLoad="1"/>
</workbook>
</file>

<file path=xl/styles.xml><?xml version="1.0" encoding="utf-8"?>
<styleSheet xmlns="http://schemas.openxmlformats.org/spreadsheetml/2006/main">
  <numFmts count="22">
    <numFmt numFmtId="164" formatCode="yyyy-mm-dd"/>
    <numFmt numFmtId="165" formatCode="#,##0;(#,##0);&quot;-&quot;"/>
    <numFmt numFmtId="166" formatCode="0.0%;(0.0%);&quot;-&quot;"/>
    <numFmt numFmtId="167" formatCode="0.00&quot;x&quot;;(0.00&quot;x&quot;);&quot;-&quot;"/>
    <numFmt numFmtId="168" formatCode="#,##0&quot; days&quot;"/>
    <numFmt numFmtId="169" formatCode="#,##0.0&quot; mo&quot;;(#,##0.0)&quot; mo&quot;;&quot;-&quot;"/>
    <numFmt numFmtId="170" formatCode="#,##0.00;(#,##0.00);&quot;-&quot;"/>
    <numFmt numFmtId="171" formatCode="#,##0.0;(#,##0.0);&quot;-&quot;"/>
    <numFmt numFmtId="172" formatCode="0.00%;(0.00%);&quot;-&quot;"/>
    <numFmt numFmtId="173" formatCode="0.000"/>
    <numFmt numFmtId="174" formatCode="+#,##0.0&quot; mo&quot;;-#,##0.0&quot; mo&quot;;&quot;-&quot;"/>
    <numFmt numFmtId="175" formatCode="$#,##0.0,,&quot;M&quot;;($#,##0.0,,&quot;M&quot;);&quot;-&quot;"/>
    <numFmt numFmtId="176" formatCode="+$#,##0.0,,&quot;M&quot;;-$#,##0.0,,&quot;M&quot;;&quot;-&quot;"/>
    <numFmt numFmtId="177" formatCode="+0.0%;-0.0%;&quot;-&quot;"/>
    <numFmt numFmtId="178" formatCode="+#,##0&quot; bps&quot;;-#,##0&quot; bps&quot;;&quot;-&quot;"/>
    <numFmt numFmtId="179" formatCode="+#,##0.0;-#,##0.0;&quot;-&quot;"/>
    <numFmt numFmtId="180" formatCode="$#,##0,&quot;K&quot;;($#,##0,&quot;K&quot;);&quot;-&quot;"/>
    <numFmt numFmtId="181" formatCode="+$#,##0,&quot;K&quot;;-$#,##0,&quot;K&quot;;&quot;-&quot;"/>
    <numFmt numFmtId="182" formatCode="$#,##0;($#,##0);&quot;-&quot;"/>
    <numFmt numFmtId="183" formatCode="#,##0,;(#,##0,);&quot;-&quot;"/>
    <numFmt numFmtId="184" formatCode="+#,##0,;-#,##0,;&quot;-&quot;"/>
    <numFmt numFmtId="185" formatCode="+#,##0;-#,##0;&quot;-&quot;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262626"/>
      <sz val="9.5"/>
    </font>
    <font>
      <name val="Calibri"/>
      <b val="1"/>
      <color rgb="001F3864"/>
      <sz val="18"/>
    </font>
    <font>
      <name val="Calibri"/>
      <b val="1"/>
      <color rgb="002E5E8C"/>
      <sz val="11"/>
    </font>
    <font>
      <name val="Calibri"/>
      <color rgb="00595959"/>
      <sz val="8"/>
    </font>
    <font>
      <name val="Calibri"/>
      <b val="1"/>
      <color rgb="001F3864"/>
      <sz val="10.5"/>
    </font>
    <font>
      <name val="Calibri"/>
      <b val="1"/>
      <color rgb="00595959"/>
      <sz val="7.5"/>
    </font>
    <font>
      <name val="Calibri"/>
      <b val="1"/>
      <color rgb="001F3864"/>
      <sz val="16"/>
    </font>
    <font>
      <name val="Calibri"/>
      <color rgb="00595959"/>
      <sz val="7.5"/>
    </font>
    <font>
      <name val="Calibri"/>
      <b val="1"/>
      <color rgb="009C1F2E"/>
      <sz val="16"/>
    </font>
    <font>
      <name val="Calibri"/>
      <b val="1"/>
      <color rgb="001E6B3A"/>
      <sz val="16"/>
    </font>
    <font>
      <name val="Calibri"/>
      <b val="1"/>
      <color rgb="00595959"/>
      <sz val="16"/>
    </font>
    <font>
      <name val="Calibri"/>
      <color rgb="00595959"/>
      <sz val="8.5"/>
    </font>
    <font>
      <name val="Calibri"/>
      <b val="1"/>
      <color rgb="001F3864"/>
      <sz val="9.5"/>
    </font>
    <font>
      <name val="Calibri"/>
      <color rgb="00595959"/>
      <sz val="9"/>
    </font>
    <font>
      <name val="Calibri"/>
      <color rgb="001F3864"/>
      <sz val="9.5"/>
    </font>
    <font>
      <name val="Calibri"/>
      <b val="1"/>
      <color rgb="00262626"/>
      <sz val="9.5"/>
    </font>
    <font>
      <name val="Calibri"/>
      <color rgb="009C6516"/>
      <sz val="9.5"/>
    </font>
    <font>
      <name val="Calibri"/>
      <b val="1"/>
      <color rgb="007A5B00"/>
      <sz val="9.5"/>
    </font>
    <font>
      <name val="Calibri"/>
      <b val="1"/>
      <color rgb="001F3864"/>
      <sz val="9"/>
    </font>
    <font>
      <name val="Calibri"/>
      <b val="1"/>
      <color rgb="009C6516"/>
      <sz val="9"/>
    </font>
    <font>
      <name val="Calibri"/>
      <b val="1"/>
      <color rgb="002E5E8C"/>
      <sz val="10.5"/>
    </font>
    <font>
      <name val="Calibri"/>
      <b val="1"/>
      <color rgb="009C6516"/>
      <sz val="10.5"/>
    </font>
    <font>
      <name val="Calibri"/>
      <b val="1"/>
      <color rgb="002E5E8C"/>
      <sz val="9.5"/>
    </font>
    <font>
      <name val="Calibri"/>
      <b val="1"/>
      <color rgb="001E6B3A"/>
      <sz val="9.5"/>
    </font>
    <font>
      <name val="Calibri"/>
      <b val="1"/>
      <color rgb="001E6B3A"/>
      <sz val="2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9"/>
      </patternFill>
    </fill>
    <fill>
      <patternFill patternType="solid">
        <fgColor rgb="00EDF2F8"/>
      </patternFill>
    </fill>
    <fill>
      <patternFill patternType="solid">
        <fgColor rgb="00FDF4E7"/>
      </patternFill>
    </fill>
    <fill>
      <patternFill patternType="solid">
        <fgColor rgb="00FFF7E0"/>
      </patternFill>
    </fill>
    <fill>
      <patternFill patternType="solid">
        <fgColor rgb="00DCE6F1"/>
      </patternFill>
    </fill>
    <fill>
      <patternFill patternType="solid">
        <fgColor rgb="002E5E8C"/>
      </patternFill>
    </fill>
  </fills>
  <borders count="7">
    <border>
      <left/>
      <right/>
      <top/>
      <bottom/>
      <diagonal/>
    </border>
    <border>
      <bottom style="thin">
        <color rgb="00BFBFBF"/>
      </bottom>
    </border>
    <border>
      <bottom style="medium">
        <color rgb="001F3864"/>
      </bottom>
    </border>
    <border>
      <top style="thin">
        <color rgb="00BFBFB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</border>
    <border>
      <left style="thin">
        <color rgb="00BFBFBF"/>
      </left>
      <top style="thin">
        <color rgb="00BFBFBF"/>
      </top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175" fontId="8" fillId="3" borderId="0" applyAlignment="1" pivotButton="0" quotePrefix="0" xfId="0">
      <alignment horizontal="left" vertical="center"/>
    </xf>
    <xf numFmtId="176" fontId="10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166" fontId="11" fillId="3" borderId="0" applyAlignment="1" pivotButton="0" quotePrefix="0" xfId="0">
      <alignment horizontal="left" vertical="center"/>
    </xf>
    <xf numFmtId="175" fontId="10" fillId="3" borderId="0" applyAlignment="1" pivotButton="0" quotePrefix="0" xfId="0">
      <alignment horizontal="left" vertical="center"/>
    </xf>
    <xf numFmtId="171" fontId="8" fillId="3" borderId="0" applyAlignment="1" pivotButton="0" quotePrefix="0" xfId="0">
      <alignment horizontal="left" vertical="center"/>
    </xf>
    <xf numFmtId="169" fontId="11" fillId="3" borderId="0" applyAlignment="1" pivotButton="0" quotePrefix="0" xfId="0">
      <alignment horizontal="left" vertical="center"/>
    </xf>
    <xf numFmtId="169" fontId="12" fillId="3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bottom" wrapText="1"/>
    </xf>
    <xf numFmtId="0" fontId="1" fillId="2" borderId="0" applyAlignment="1" pivotButton="0" quotePrefix="0" xfId="0">
      <alignment horizontal="right" vertical="bottom" wrapText="1"/>
    </xf>
    <xf numFmtId="0" fontId="2" fillId="0" borderId="0" applyAlignment="1" pivotButton="0" quotePrefix="0" xfId="0">
      <alignment horizontal="left" vertical="center"/>
    </xf>
    <xf numFmtId="175" fontId="2" fillId="0" borderId="0" applyAlignment="1" pivotButton="0" quotePrefix="0" xfId="0">
      <alignment horizontal="right" vertical="center"/>
    </xf>
    <xf numFmtId="175" fontId="14" fillId="0" borderId="0" applyAlignment="1" pivotButton="0" quotePrefix="0" xfId="0">
      <alignment horizontal="right" vertical="center"/>
    </xf>
    <xf numFmtId="176" fontId="2" fillId="0" borderId="0" applyAlignment="1" pivotButton="0" quotePrefix="0" xfId="0">
      <alignment horizontal="right" vertical="center"/>
    </xf>
    <xf numFmtId="177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78" fontId="2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171" fontId="2" fillId="0" borderId="0" applyAlignment="1" pivotButton="0" quotePrefix="0" xfId="0">
      <alignment horizontal="right" vertical="center"/>
    </xf>
    <xf numFmtId="171" fontId="14" fillId="0" borderId="0" applyAlignment="1" pivotButton="0" quotePrefix="0" xfId="0">
      <alignment horizontal="right" vertical="center"/>
    </xf>
    <xf numFmtId="179" fontId="2" fillId="0" borderId="0" applyAlignment="1" pivotButton="0" quotePrefix="0" xfId="0">
      <alignment horizontal="right" vertical="center"/>
    </xf>
    <xf numFmtId="0" fontId="2" fillId="0" borderId="3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174" fontId="14" fillId="0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180" fontId="17" fillId="4" borderId="0" applyAlignment="1" pivotButton="0" quotePrefix="0" xfId="0">
      <alignment horizontal="right" vertical="center"/>
    </xf>
    <xf numFmtId="180" fontId="2" fillId="4" borderId="0" applyAlignment="1" pivotButton="0" quotePrefix="0" xfId="0">
      <alignment horizontal="right" vertical="center"/>
    </xf>
    <xf numFmtId="0" fontId="18" fillId="5" borderId="0" applyAlignment="1" pivotButton="0" quotePrefix="0" xfId="0">
      <alignment horizontal="left" vertical="center"/>
    </xf>
    <xf numFmtId="180" fontId="17" fillId="5" borderId="0" applyAlignment="1" pivotButton="0" quotePrefix="0" xfId="0">
      <alignment horizontal="right" vertical="center"/>
    </xf>
    <xf numFmtId="180" fontId="2" fillId="5" borderId="0" applyAlignment="1" pivotButton="0" quotePrefix="0" xfId="0">
      <alignment horizontal="right" vertical="center"/>
    </xf>
    <xf numFmtId="0" fontId="17" fillId="0" borderId="3" applyAlignment="1" pivotButton="0" quotePrefix="0" xfId="0">
      <alignment horizontal="left" vertical="center"/>
    </xf>
    <xf numFmtId="0" fontId="15" fillId="0" borderId="3" applyAlignment="1" pivotButton="0" quotePrefix="0" xfId="0">
      <alignment horizontal="left" vertical="center"/>
    </xf>
    <xf numFmtId="170" fontId="17" fillId="0" borderId="3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0" fontId="19" fillId="6" borderId="4" applyAlignment="1" pivotButton="0" quotePrefix="0" xfId="0">
      <alignment horizontal="center" vertical="center"/>
    </xf>
    <xf numFmtId="175" fontId="17" fillId="0" borderId="0" applyAlignment="1" pivotButton="0" quotePrefix="0" xfId="0">
      <alignment horizontal="right" vertical="center"/>
    </xf>
    <xf numFmtId="176" fontId="17" fillId="0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80" fontId="2" fillId="0" borderId="0" applyAlignment="1" pivotButton="0" quotePrefix="0" xfId="0">
      <alignment horizontal="right" vertical="center"/>
    </xf>
    <xf numFmtId="180" fontId="14" fillId="0" borderId="0" applyAlignment="1" pivotButton="0" quotePrefix="0" xfId="0">
      <alignment horizontal="right" vertical="center"/>
    </xf>
    <xf numFmtId="181" fontId="2" fillId="0" borderId="0" applyAlignment="1" pivotButton="0" quotePrefix="0" xfId="0">
      <alignment horizontal="right" vertical="center"/>
    </xf>
    <xf numFmtId="167" fontId="2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82" fontId="2" fillId="0" borderId="0" applyAlignment="1" pivotButton="0" quotePrefix="0" xfId="0">
      <alignment horizontal="right" vertical="center"/>
    </xf>
    <xf numFmtId="182" fontId="14" fillId="0" borderId="0" applyAlignment="1" pivotButton="0" quotePrefix="0" xfId="0">
      <alignment horizontal="right" vertical="center"/>
    </xf>
    <xf numFmtId="169" fontId="14" fillId="0" borderId="0" applyAlignment="1" pivotButton="0" quotePrefix="0" xfId="0">
      <alignment horizontal="right" vertical="center"/>
    </xf>
    <xf numFmtId="2" fontId="14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0" fontId="2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 vertical="center"/>
    </xf>
    <xf numFmtId="0" fontId="14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183" fontId="2" fillId="0" borderId="0" applyAlignment="1" pivotButton="0" quotePrefix="0" xfId="0">
      <alignment horizontal="right" vertical="center"/>
    </xf>
    <xf numFmtId="183" fontId="2" fillId="5" borderId="0" applyAlignment="1" pivotButton="0" quotePrefix="0" xfId="0">
      <alignment horizontal="right" vertical="center"/>
    </xf>
    <xf numFmtId="183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70" fontId="15" fillId="0" borderId="0" applyAlignment="1" pivotButton="0" quotePrefix="0" xfId="0">
      <alignment horizontal="right" vertical="center"/>
    </xf>
    <xf numFmtId="0" fontId="14" fillId="0" borderId="3" applyAlignment="1" pivotButton="0" quotePrefix="0" xfId="0">
      <alignment horizontal="left" vertical="center"/>
    </xf>
    <xf numFmtId="183" fontId="14" fillId="0" borderId="3" applyAlignment="1" pivotButton="0" quotePrefix="0" xfId="0">
      <alignment horizontal="right" vertical="center"/>
    </xf>
    <xf numFmtId="183" fontId="14" fillId="5" borderId="3" applyAlignment="1" pivotButton="0" quotePrefix="0" xfId="0">
      <alignment horizontal="right" vertical="center"/>
    </xf>
    <xf numFmtId="183" fontId="17" fillId="0" borderId="3" applyAlignment="1" pivotButton="0" quotePrefix="0" xfId="0">
      <alignment horizontal="right" vertical="center"/>
    </xf>
    <xf numFmtId="166" fontId="2" fillId="5" borderId="0" applyAlignment="1" pivotButton="0" quotePrefix="0" xfId="0">
      <alignment horizontal="right" vertical="center"/>
    </xf>
    <xf numFmtId="171" fontId="2" fillId="5" borderId="0" applyAlignment="1" pivotButton="0" quotePrefix="0" xfId="0">
      <alignment horizontal="right" vertical="center"/>
    </xf>
    <xf numFmtId="171" fontId="17" fillId="0" borderId="0" applyAlignment="1" pivotButton="0" quotePrefix="0" xfId="0">
      <alignment horizontal="right" vertical="center"/>
    </xf>
    <xf numFmtId="0" fontId="1" fillId="8" borderId="0" applyAlignment="1" pivotButton="0" quotePrefix="0" xfId="0">
      <alignment horizontal="right" vertical="bottom" wrapText="1"/>
    </xf>
    <xf numFmtId="184" fontId="2" fillId="0" borderId="5" applyAlignment="1" pivotButton="0" quotePrefix="0" xfId="0">
      <alignment horizontal="right" vertical="center"/>
    </xf>
    <xf numFmtId="184" fontId="14" fillId="0" borderId="6" applyAlignment="1" pivotButton="0" quotePrefix="0" xfId="0">
      <alignment horizontal="right" vertical="center"/>
    </xf>
    <xf numFmtId="177" fontId="2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0" fontId="14" fillId="3" borderId="3" applyAlignment="1" pivotButton="0" quotePrefix="0" xfId="0">
      <alignment horizontal="left" vertical="center"/>
    </xf>
    <xf numFmtId="183" fontId="14" fillId="3" borderId="3" applyAlignment="1" pivotButton="0" quotePrefix="0" xfId="0">
      <alignment horizontal="right" vertical="center"/>
    </xf>
    <xf numFmtId="184" fontId="14" fillId="3" borderId="6" applyAlignment="1" pivotButton="0" quotePrefix="0" xfId="0">
      <alignment horizontal="right" vertical="center"/>
    </xf>
    <xf numFmtId="177" fontId="2" fillId="3" borderId="3" applyAlignment="1" pivotButton="0" quotePrefix="0" xfId="0">
      <alignment horizontal="right" vertical="center"/>
    </xf>
    <xf numFmtId="0" fontId="14" fillId="3" borderId="3" applyAlignment="1" pivotButton="0" quotePrefix="0" xfId="0">
      <alignment horizontal="right" vertical="center"/>
    </xf>
    <xf numFmtId="178" fontId="2" fillId="0" borderId="5" applyAlignment="1" pivotButton="0" quotePrefix="0" xfId="0">
      <alignment horizontal="right" vertical="center"/>
    </xf>
    <xf numFmtId="171" fontId="17" fillId="0" borderId="3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right" vertical="bottom"/>
    </xf>
    <xf numFmtId="0" fontId="14" fillId="3" borderId="0" applyAlignment="1" pivotButton="0" quotePrefix="0" xfId="0">
      <alignment horizontal="left" vertical="center"/>
    </xf>
    <xf numFmtId="165" fontId="14" fillId="3" borderId="0" applyAlignment="1" pivotButton="0" quotePrefix="0" xfId="0">
      <alignment horizontal="right" vertical="center"/>
    </xf>
    <xf numFmtId="165" fontId="17" fillId="3" borderId="0" applyAlignment="1" pivotButton="0" quotePrefix="0" xfId="0">
      <alignment horizontal="right" vertical="center"/>
    </xf>
    <xf numFmtId="185" fontId="2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170" fontId="15" fillId="0" borderId="3" applyAlignment="1" pivotButton="0" quotePrefix="0" xfId="0">
      <alignment horizontal="right" vertical="center"/>
    </xf>
    <xf numFmtId="178" fontId="17" fillId="0" borderId="0" applyAlignment="1" pivotButton="0" quotePrefix="0" xfId="0">
      <alignment horizontal="right" vertical="center"/>
    </xf>
    <xf numFmtId="175" fontId="14" fillId="3" borderId="0" applyAlignment="1" pivotButton="0" quotePrefix="0" xfId="0">
      <alignment horizontal="right" vertical="center"/>
    </xf>
    <xf numFmtId="175" fontId="2" fillId="3" borderId="0" applyAlignment="1" pivotButton="0" quotePrefix="0" xfId="0">
      <alignment horizontal="right" vertical="center"/>
    </xf>
    <xf numFmtId="180" fontId="2" fillId="3" borderId="0" applyAlignment="1" pivotButton="0" quotePrefix="0" xfId="0">
      <alignment horizontal="right" vertical="center"/>
    </xf>
    <xf numFmtId="169" fontId="14" fillId="3" borderId="0" applyAlignment="1" pivotButton="0" quotePrefix="0" xfId="0">
      <alignment horizontal="right" vertical="center"/>
    </xf>
    <xf numFmtId="174" fontId="2" fillId="0" borderId="0" applyAlignment="1" pivotButton="0" quotePrefix="0" xfId="0">
      <alignment horizontal="right" vertical="center"/>
    </xf>
    <xf numFmtId="174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2" fontId="19" fillId="6" borderId="0" applyAlignment="1" pivotButton="0" quotePrefix="0" xfId="0">
      <alignment horizontal="right" vertical="center"/>
    </xf>
    <xf numFmtId="180" fontId="17" fillId="0" borderId="0" applyAlignment="1" pivotButton="0" quotePrefix="0" xfId="0">
      <alignment horizontal="right" vertical="center"/>
    </xf>
    <xf numFmtId="169" fontId="17" fillId="0" borderId="0" applyAlignment="1" pivotButton="0" quotePrefix="0" xfId="0">
      <alignment horizontal="right" vertical="center"/>
    </xf>
    <xf numFmtId="174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22" fillId="0" borderId="2" applyAlignment="1" pivotButton="0" quotePrefix="0" xfId="0">
      <alignment horizontal="left" vertical="center"/>
    </xf>
    <xf numFmtId="169" fontId="2" fillId="0" borderId="0" applyAlignment="1" pivotButton="0" quotePrefix="0" xfId="0">
      <alignment horizontal="right" vertical="center"/>
    </xf>
    <xf numFmtId="0" fontId="23" fillId="0" borderId="2" applyAlignment="1" pivotButton="0" quotePrefix="0" xfId="0">
      <alignment horizontal="left" vertical="center"/>
    </xf>
    <xf numFmtId="181" fontId="14" fillId="0" borderId="0" applyAlignment="1" pivotButton="0" quotePrefix="0" xfId="0">
      <alignment horizontal="right" vertical="center"/>
    </xf>
    <xf numFmtId="185" fontId="15" fillId="0" borderId="0" applyAlignment="1" pivotButton="0" quotePrefix="0" xfId="0">
      <alignment horizontal="right" vertical="center"/>
    </xf>
    <xf numFmtId="165" fontId="17" fillId="0" borderId="0" applyAlignment="1" pivotButton="0" quotePrefix="0" xfId="0">
      <alignment horizontal="right" vertical="center"/>
    </xf>
    <xf numFmtId="172" fontId="2" fillId="0" borderId="0" applyAlignment="1" pivotButton="0" quotePrefix="0" xfId="0">
      <alignment horizontal="right" vertical="center"/>
    </xf>
    <xf numFmtId="170" fontId="2" fillId="0" borderId="0" applyAlignment="1" pivotButton="0" quotePrefix="0" xfId="0">
      <alignment horizontal="right" vertical="center"/>
    </xf>
    <xf numFmtId="0" fontId="19" fillId="6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166" fontId="19" fillId="6" borderId="0" applyAlignment="1" pivotButton="0" quotePrefix="0" xfId="0">
      <alignment horizontal="right" vertical="center"/>
    </xf>
    <xf numFmtId="169" fontId="19" fillId="6" borderId="0" applyAlignment="1" pivotButton="0" quotePrefix="0" xfId="0">
      <alignment horizontal="right" vertical="center"/>
    </xf>
    <xf numFmtId="182" fontId="17" fillId="0" borderId="0" applyAlignment="1" pivotButton="0" quotePrefix="0" xfId="0">
      <alignment horizontal="right" vertical="center"/>
    </xf>
    <xf numFmtId="182" fontId="19" fillId="6" borderId="0" applyAlignment="1" pivotButton="0" quotePrefix="0" xfId="0">
      <alignment horizontal="right" vertical="center"/>
    </xf>
    <xf numFmtId="165" fontId="19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bottom" wrapText="1"/>
    </xf>
    <xf numFmtId="0" fontId="2" fillId="2" borderId="0" applyAlignment="1" pivotButton="0" quotePrefix="0" xfId="0">
      <alignment horizontal="left" vertical="center"/>
    </xf>
    <xf numFmtId="17" fontId="2" fillId="0" borderId="0" applyAlignment="1" pivotButton="0" quotePrefix="0" xfId="0">
      <alignment horizontal="right" vertical="center"/>
    </xf>
    <xf numFmtId="173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6">
    <dxf>
      <font>
        <name val="Calibri"/>
        <color rgb="009C1F2E"/>
        <sz val="10"/>
      </font>
    </dxf>
    <dxf>
      <font>
        <name val="Calibri"/>
        <color rgb="001E6B3A"/>
        <sz val="10"/>
      </font>
    </dxf>
    <dxf>
      <font>
        <name val="Calibri"/>
        <b val="1"/>
        <color rgb="001E6B3A"/>
        <sz val="10"/>
      </font>
    </dxf>
    <dxf>
      <font>
        <name val="Calibri"/>
        <b val="1"/>
        <color rgb="009C1F2E"/>
        <sz val="10"/>
      </font>
    </dxf>
    <dxf>
      <font>
        <name val="Calibri"/>
        <b val="1"/>
        <color rgb="009C1F2E"/>
        <sz val="20"/>
      </font>
      <fill>
        <patternFill patternType="solid">
          <bgColor rgb="00F7E4E6"/>
        </patternFill>
      </fill>
    </dxf>
    <dxf>
      <font>
        <name val="Calibri"/>
        <b val="1"/>
        <color rgb="001E6B3A"/>
        <sz val="20"/>
      </font>
      <fill>
        <patternFill patternType="solid">
          <bgColor rgb="00E3F0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Dec-2026 Exit ARR: Board Budget to Base reforecast ($M)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'Chart_Data'!B1</f>
            </strRef>
          </tx>
          <spPr>
            <a:noFill/>
            <a:ln>
              <a:noFill/>
              <a:prstDash val="solid"/>
            </a:ln>
          </spPr>
          <cat>
            <strRef>
              <f>'Chart_Data'!$A$2:$A$9</f>
            </strRef>
          </cat>
          <val>
            <numRef>
              <f>'Chart_Data'!$B$2:$B$9</f>
            </numRef>
          </val>
        </ser>
        <ser>
          <idx val="1"/>
          <order val="1"/>
          <tx>
            <strRef>
              <f>'Chart_Data'!C1</f>
            </strRef>
          </tx>
          <spPr>
            <a:solidFill>
              <a:srgbClr val="1F3864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'Chart_Data'!$A$2:$A$9</f>
            </strRef>
          </cat>
          <val>
            <numRef>
              <f>'Chart_Data'!$C$2:$C$9</f>
            </numRef>
          </val>
        </ser>
        <ser>
          <idx val="2"/>
          <order val="2"/>
          <tx>
            <strRef>
              <f>'Chart_Data'!D1</f>
            </strRef>
          </tx>
          <spPr>
            <a:solidFill>
              <a:srgbClr val="1E6B3A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'Chart_Data'!$A$2:$A$9</f>
            </strRef>
          </cat>
          <val>
            <numRef>
              <f>'Chart_Data'!$D$2:$D$9</f>
            </numRef>
          </val>
        </ser>
        <ser>
          <idx val="3"/>
          <order val="3"/>
          <tx>
            <strRef>
              <f>'Chart_Data'!E1</f>
            </strRef>
          </tx>
          <spPr>
            <a:solidFill>
              <a:srgbClr val="9C1F2E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'Chart_Data'!$A$2:$A$9</f>
            </strRef>
          </cat>
          <val>
            <numRef>
              <f>'Chart_Data'!$E$2:$E$9</f>
            </numRef>
          </val>
        </ser>
        <gapWidth val="3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 rot="-2700000" vert="horz"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$#,##0.0,,&quot;M&quot;;($#,##0.0,,&quot;M&quot;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plotVisOnly val="0"/>
    <dispBlanksAs val="gap"/>
  </chart>
  <spPr>
    <a:noFill/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FY2026 Budget vs Base reforecast ($M)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'Chart_Data'!B42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strRef>
              <f>'Chart_Data'!$A$43:$A$46</f>
            </strRef>
          </cat>
          <val>
            <numRef>
              <f>'Chart_Data'!$B$43:$B$46</f>
            </numRef>
          </val>
        </ser>
        <ser>
          <idx val="1"/>
          <order val="1"/>
          <tx>
            <strRef>
              <f>'Chart_Data'!C42</f>
            </strRef>
          </tx>
          <spPr>
            <a:solidFill>
              <a:srgbClr val="2E5E8C"/>
            </a:solidFill>
            <a:ln>
              <a:noFill/>
              <a:prstDash val="solid"/>
            </a:ln>
          </spPr>
          <cat>
            <strRef>
              <f>'Chart_Data'!$A$43:$A$46</f>
            </strRef>
          </cat>
          <val>
            <numRef>
              <f>'Chart_Data'!$C$43:$C$46</f>
            </numRef>
          </val>
        </ser>
        <dLbls>
          <numFmt formatCode="$#,##0.0,,&quot;M&quot;;($#,##0.0,,&quot;M&quot;);&quot;-&quot;"/>
          <txPr>
            <a:bodyPr/>
            <a:p>
              <a:pPr>
                <a:defRPr sz="900" b="1">
                  <a:solidFill>
                    <a:srgbClr val="262626"/>
                  </a:solidFill>
                  <a:latin typeface="Calibri"/>
                </a:defRPr>
              </a:pPr>
              <a:r>
                <a:t/>
              </a:r>
              <a:endParaRPr sz="900" b="1">
                <a:solidFill>
                  <a:srgbClr val="262626"/>
                </a:solidFill>
                <a:latin typeface="Calibri"/>
              </a:endParaRPr>
            </a:p>
          </txPr>
          <showLegendKey val="0"/>
          <showVal val="1"/>
          <showCatName val="0"/>
          <showSerName val="0"/>
        </dLbls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$#,##0.0,,&quot;M&quot;;($#,##0.0,,&quot;M&quot;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950" b="0">
              <a:solidFill>
                <a:srgbClr val="595959"/>
              </a:solidFill>
              <a:latin typeface="Calibri"/>
            </a:defRPr>
          </a:pPr>
          <a:r>
            <a:t/>
          </a:r>
          <a:endParaRPr sz="950" b="0">
            <a:solidFill>
              <a:srgbClr val="595959"/>
            </a:solidFill>
            <a:latin typeface="Calibri"/>
          </a:endParaRPr>
        </a:p>
      </txPr>
    </legend>
    <plotVisOnly val="0"/>
    <dispBlanksAs val="gap"/>
  </chart>
  <spPr>
    <a:noFill/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Dec-2026 Exit ARR by operating scenario ($M)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'Chart_Data'!B49</f>
            </strRef>
          </tx>
          <spPr>
            <a:solidFill>
              <a:srgbClr val="2E5E8C"/>
            </a:solidFill>
            <a:ln>
              <a:noFill/>
              <a:prstDash val="solid"/>
            </a:ln>
          </spPr>
          <cat>
            <strRef>
              <f>'Chart_Data'!$A$50:$A$52</f>
            </strRef>
          </cat>
          <val>
            <numRef>
              <f>'Chart_Data'!$B$50:$B$52</f>
            </numRef>
          </val>
        </ser>
        <dLbls>
          <numFmt formatCode="$#,##0.0,,&quot;M&quot;;($#,##0.0,,&quot;M&quot;);&quot;-&quot;"/>
          <txPr>
            <a:bodyPr/>
            <a:p>
              <a:pPr>
                <a:defRPr sz="900" b="1">
                  <a:solidFill>
                    <a:srgbClr val="262626"/>
                  </a:solidFill>
                  <a:latin typeface="Calibri"/>
                </a:defRPr>
              </a:pPr>
              <a:r>
                <a:t/>
              </a:r>
              <a:endParaRPr sz="900" b="1">
                <a:solidFill>
                  <a:srgbClr val="262626"/>
                </a:solidFill>
                <a:latin typeface="Calibri"/>
              </a:endParaRPr>
            </a:p>
          </txPr>
          <showLegendKey val="0"/>
          <showVal val="1"/>
          <showCatName val="0"/>
          <showSerName val="0"/>
        </dLbls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$#,##0.0,,&quot;M&quot;;($#,##0.0,,&quot;M&quot;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plotVisOnly val="0"/>
    <dispBlanksAs val="gap"/>
  </chart>
  <spPr>
    <a:noFill/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Board-policy runway vs the 24-month floor (months)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'Chart_Data'!B55</f>
            </strRef>
          </tx>
          <spPr>
            <a:solidFill>
              <a:srgbClr val="2E5E8C"/>
            </a:solidFill>
            <a:ln>
              <a:noFill/>
              <a:prstDash val="solid"/>
            </a:ln>
          </spPr>
          <cat>
            <strRef>
              <f>'Chart_Data'!$A$56:$A$59</f>
            </strRef>
          </cat>
          <val>
            <numRef>
              <f>'Chart_Data'!$B$56:$B$59</f>
            </numRef>
          </val>
        </ser>
        <ser>
          <idx val="1"/>
          <order val="1"/>
          <tx>
            <strRef>
              <f>'Chart_Data'!C55</f>
            </strRef>
          </tx>
          <spPr>
            <a:solidFill>
              <a:srgbClr val="9C1F2E"/>
            </a:solidFill>
            <a:ln>
              <a:noFill/>
              <a:prstDash val="solid"/>
            </a:ln>
          </spPr>
          <cat>
            <strRef>
              <f>'Chart_Data'!$A$56:$A$59</f>
            </strRef>
          </cat>
          <val>
            <numRef>
              <f>'Chart_Data'!$C$56:$C$59</f>
            </numRef>
          </val>
        </ser>
        <dLbls>
          <numFmt formatCode="#,##0.0&quot; mo&quot;;(#,##0.0)&quot; mo&quot;;&quot;-&quot;"/>
          <txPr>
            <a:bodyPr/>
            <a:p>
              <a:pPr>
                <a:defRPr sz="900" b="1">
                  <a:solidFill>
                    <a:srgbClr val="262626"/>
                  </a:solidFill>
                  <a:latin typeface="Calibri"/>
                </a:defRPr>
              </a:pPr>
              <a:r>
                <a:t/>
              </a:r>
              <a:endParaRPr sz="900" b="1">
                <a:solidFill>
                  <a:srgbClr val="262626"/>
                </a:solidFill>
                <a:latin typeface="Calibri"/>
              </a:endParaRPr>
            </a:p>
          </txPr>
          <showLegendKey val="0"/>
          <showVal val="1"/>
          <showCatName val="0"/>
          <showSerName val="0"/>
        </dLbls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.0&quot; mo&quot;;(#,##0.0)&quot; mo&quot;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950" b="0">
              <a:solidFill>
                <a:srgbClr val="595959"/>
              </a:solidFill>
              <a:latin typeface="Calibri"/>
            </a:defRPr>
          </a:pPr>
          <a:r>
            <a:t/>
          </a:r>
          <a:endParaRPr sz="950" b="0">
            <a:solidFill>
              <a:srgbClr val="595959"/>
            </a:solidFill>
            <a:latin typeface="Calibri"/>
          </a:endParaRPr>
        </a:p>
      </txPr>
    </legend>
    <plotVisOnly val="0"/>
    <dispBlanksAs val="gap"/>
  </chart>
  <spPr>
    <a:noFill/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Monthly ARR movement, company total ($000) -- actual to Jun-26, Base after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'Chart_Data'!B62</f>
            </strRef>
          </tx>
          <spPr>
            <a:solidFill>
              <a:srgbClr val="2E5E8C"/>
            </a:solidFill>
            <a:ln>
              <a:noFill/>
              <a:prstDash val="solid"/>
            </a:ln>
          </spPr>
          <cat>
            <strRef>
              <f>'Chart_Data'!$A$63:$A$86</f>
            </strRef>
          </cat>
          <val>
            <numRef>
              <f>'Chart_Data'!$B$63:$B$86</f>
            </numRef>
          </val>
        </ser>
        <ser>
          <idx val="1"/>
          <order val="1"/>
          <tx>
            <strRef>
              <f>'Chart_Data'!C62</f>
            </strRef>
          </tx>
          <spPr>
            <a:solidFill>
              <a:srgbClr val="7FA6C9"/>
            </a:solidFill>
            <a:ln>
              <a:noFill/>
              <a:prstDash val="solid"/>
            </a:ln>
          </spPr>
          <cat>
            <strRef>
              <f>'Chart_Data'!$A$63:$A$86</f>
            </strRef>
          </cat>
          <val>
            <numRef>
              <f>'Chart_Data'!$C$63:$C$86</f>
            </numRef>
          </val>
        </ser>
        <ser>
          <idx val="2"/>
          <order val="2"/>
          <tx>
            <strRef>
              <f>'Chart_Data'!D62</f>
            </strRef>
          </tx>
          <spPr>
            <a:solidFill>
              <a:srgbClr val="9DC3A6"/>
            </a:solidFill>
            <a:ln>
              <a:noFill/>
              <a:prstDash val="solid"/>
            </a:ln>
          </spPr>
          <cat>
            <strRef>
              <f>'Chart_Data'!$A$63:$A$86</f>
            </strRef>
          </cat>
          <val>
            <numRef>
              <f>'Chart_Data'!$D$63:$D$86</f>
            </numRef>
          </val>
        </ser>
        <ser>
          <idx val="3"/>
          <order val="3"/>
          <tx>
            <strRef>
              <f>'Chart_Data'!E62</f>
            </strRef>
          </tx>
          <spPr>
            <a:solidFill>
              <a:srgbClr val="9C6516"/>
            </a:solidFill>
            <a:ln>
              <a:noFill/>
              <a:prstDash val="solid"/>
            </a:ln>
          </spPr>
          <cat>
            <strRef>
              <f>'Chart_Data'!$A$63:$A$86</f>
            </strRef>
          </cat>
          <val>
            <numRef>
              <f>'Chart_Data'!$E$63:$E$86</f>
            </numRef>
          </val>
        </ser>
        <ser>
          <idx val="4"/>
          <order val="4"/>
          <tx>
            <strRef>
              <f>'Chart_Data'!F62</f>
            </strRef>
          </tx>
          <spPr>
            <a:solidFill>
              <a:srgbClr val="9C1F2E"/>
            </a:solidFill>
            <a:ln>
              <a:noFill/>
              <a:prstDash val="solid"/>
            </a:ln>
          </spPr>
          <cat>
            <strRef>
              <f>'Chart_Data'!$A$63:$A$86</f>
            </strRef>
          </cat>
          <val>
            <numRef>
              <f>'Chart_Data'!$F$63:$F$86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,;(#,##0,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950" b="0">
              <a:solidFill>
                <a:srgbClr val="595959"/>
              </a:solidFill>
              <a:latin typeface="Calibri"/>
            </a:defRPr>
          </a:pPr>
          <a:r>
            <a:t/>
          </a:r>
          <a:endParaRPr sz="950" b="0">
            <a:solidFill>
              <a:srgbClr val="595959"/>
            </a:solidFill>
            <a:latin typeface="Calibri"/>
          </a:endParaRPr>
        </a:p>
      </txPr>
    </legend>
    <plotVisOnly val="0"/>
    <dispBlanksAs val="gap"/>
  </chart>
  <spPr>
    <a:noFill/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H2 2026 New Logo ARR by segment ($000): capacity, pipeline, achievable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'Chart_Data'!B89</f>
            </strRef>
          </tx>
          <spPr>
            <a:solidFill>
              <a:srgbClr val="7FA6C9"/>
            </a:solidFill>
            <a:ln>
              <a:noFill/>
              <a:prstDash val="solid"/>
            </a:ln>
          </spPr>
          <cat>
            <strRef>
              <f>'Chart_Data'!$A$90:$A$92</f>
            </strRef>
          </cat>
          <val>
            <numRef>
              <f>'Chart_Data'!$B$90:$B$92</f>
            </numRef>
          </val>
        </ser>
        <ser>
          <idx val="1"/>
          <order val="1"/>
          <tx>
            <strRef>
              <f>'Chart_Data'!C89</f>
            </strRef>
          </tx>
          <spPr>
            <a:solidFill>
              <a:srgbClr val="2E5E8C"/>
            </a:solidFill>
            <a:ln>
              <a:noFill/>
              <a:prstDash val="solid"/>
            </a:ln>
          </spPr>
          <cat>
            <strRef>
              <f>'Chart_Data'!$A$90:$A$92</f>
            </strRef>
          </cat>
          <val>
            <numRef>
              <f>'Chart_Data'!$C$90:$C$92</f>
            </numRef>
          </val>
        </ser>
        <ser>
          <idx val="2"/>
          <order val="2"/>
          <tx>
            <strRef>
              <f>'Chart_Data'!D89</f>
            </strRef>
          </tx>
          <spPr>
            <a:solidFill>
              <a:srgbClr val="1F3864"/>
            </a:solidFill>
            <a:ln>
              <a:noFill/>
              <a:prstDash val="solid"/>
            </a:ln>
          </spPr>
          <cat>
            <strRef>
              <f>'Chart_Data'!$A$90:$A$92</f>
            </strRef>
          </cat>
          <val>
            <numRef>
              <f>'Chart_Data'!$D$90:$D$92</f>
            </numRef>
          </val>
        </ser>
        <dLbls>
          <numFmt formatCode="#,##0,;(#,##0,);&quot;-&quot;"/>
          <txPr>
            <a:bodyPr/>
            <a:p>
              <a:pPr>
                <a:defRPr sz="900" b="1">
                  <a:solidFill>
                    <a:srgbClr val="262626"/>
                  </a:solidFill>
                  <a:latin typeface="Calibri"/>
                </a:defRPr>
              </a:pPr>
              <a:r>
                <a:t/>
              </a:r>
              <a:endParaRPr sz="900" b="1">
                <a:solidFill>
                  <a:srgbClr val="262626"/>
                </a:solidFill>
                <a:latin typeface="Calibri"/>
              </a:endParaRPr>
            </a:p>
          </txPr>
          <showLegendKey val="0"/>
          <showVal val="1"/>
          <showCatName val="0"/>
          <showSerName val="0"/>
        </dLbls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,;(#,##0,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950" b="0">
              <a:solidFill>
                <a:srgbClr val="595959"/>
              </a:solidFill>
              <a:latin typeface="Calibri"/>
            </a:defRPr>
          </a:pPr>
          <a:r>
            <a:t/>
          </a:r>
          <a:endParaRPr sz="950" b="0">
            <a:solidFill>
              <a:srgbClr val="595959"/>
            </a:solidFill>
            <a:latin typeface="Calibri"/>
          </a:endParaRPr>
        </a:p>
      </txPr>
    </legend>
    <plotVisOnly val="0"/>
    <dispBlanksAs val="gap"/>
  </chart>
  <spPr>
    <a:noFill/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Dec-2026 Exit ARR: Budget to Base ($M)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'Chart_Data'!B1</f>
            </strRef>
          </tx>
          <spPr>
            <a:noFill/>
            <a:ln>
              <a:noFill/>
              <a:prstDash val="solid"/>
            </a:ln>
          </spPr>
          <cat>
            <strRef>
              <f>'Chart_Data'!$A$2:$A$9</f>
            </strRef>
          </cat>
          <val>
            <numRef>
              <f>'Chart_Data'!$B$2:$B$9</f>
            </numRef>
          </val>
        </ser>
        <ser>
          <idx val="1"/>
          <order val="1"/>
          <tx>
            <strRef>
              <f>'Chart_Data'!C1</f>
            </strRef>
          </tx>
          <spPr>
            <a:solidFill>
              <a:srgbClr val="1F3864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'Chart_Data'!$A$2:$A$9</f>
            </strRef>
          </cat>
          <val>
            <numRef>
              <f>'Chart_Data'!$C$2:$C$9</f>
            </numRef>
          </val>
        </ser>
        <ser>
          <idx val="2"/>
          <order val="2"/>
          <tx>
            <strRef>
              <f>'Chart_Data'!D1</f>
            </strRef>
          </tx>
          <spPr>
            <a:solidFill>
              <a:srgbClr val="1E6B3A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'Chart_Data'!$A$2:$A$9</f>
            </strRef>
          </cat>
          <val>
            <numRef>
              <f>'Chart_Data'!$D$2:$D$9</f>
            </numRef>
          </val>
        </ser>
        <ser>
          <idx val="3"/>
          <order val="3"/>
          <tx>
            <strRef>
              <f>'Chart_Data'!E1</f>
            </strRef>
          </tx>
          <spPr>
            <a:solidFill>
              <a:srgbClr val="9C1F2E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'Chart_Data'!$A$2:$A$9</f>
            </strRef>
          </cat>
          <val>
            <numRef>
              <f>'Chart_Data'!$E$2:$E$9</f>
            </numRef>
          </val>
        </ser>
        <gapWidth val="3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 rot="-2700000" vert="horz"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$#,##0.0,,&quot;M&quot;;($#,##0.0,,&quot;M&quot;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plotVisOnly val="0"/>
    <dispBlanksAs val="gap"/>
  </chart>
  <spPr>
    <a:noFill/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FY2026 Gross Profit: Budget to Base ($M)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'Chart_Data'!B12</f>
            </strRef>
          </tx>
          <spPr>
            <a:noFill/>
            <a:ln>
              <a:noFill/>
              <a:prstDash val="solid"/>
            </a:ln>
          </spPr>
          <cat>
            <strRef>
              <f>'Chart_Data'!$A$13:$A$19</f>
            </strRef>
          </cat>
          <val>
            <numRef>
              <f>'Chart_Data'!$B$13:$B$19</f>
            </numRef>
          </val>
        </ser>
        <ser>
          <idx val="1"/>
          <order val="1"/>
          <tx>
            <strRef>
              <f>'Chart_Data'!C12</f>
            </strRef>
          </tx>
          <spPr>
            <a:solidFill>
              <a:srgbClr val="1F3864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'Chart_Data'!$A$13:$A$19</f>
            </strRef>
          </cat>
          <val>
            <numRef>
              <f>'Chart_Data'!$C$13:$C$19</f>
            </numRef>
          </val>
        </ser>
        <ser>
          <idx val="2"/>
          <order val="2"/>
          <tx>
            <strRef>
              <f>'Chart_Data'!D12</f>
            </strRef>
          </tx>
          <spPr>
            <a:solidFill>
              <a:srgbClr val="1E6B3A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'Chart_Data'!$A$13:$A$19</f>
            </strRef>
          </cat>
          <val>
            <numRef>
              <f>'Chart_Data'!$D$13:$D$19</f>
            </numRef>
          </val>
        </ser>
        <ser>
          <idx val="3"/>
          <order val="3"/>
          <tx>
            <strRef>
              <f>'Chart_Data'!E12</f>
            </strRef>
          </tx>
          <spPr>
            <a:solidFill>
              <a:srgbClr val="9C1F2E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'Chart_Data'!$A$13:$A$19</f>
            </strRef>
          </cat>
          <val>
            <numRef>
              <f>'Chart_Data'!$E$13:$E$19</f>
            </numRef>
          </val>
        </ser>
        <gapWidth val="3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 rot="-2700000" vert="horz"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$#,##0.0,,&quot;M&quot;;($#,##0.0,,&quot;M&quot;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plotVisOnly val="0"/>
    <dispBlanksAs val="gap"/>
  </chart>
  <spPr>
    <a:noFill/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FY2026 Total OpEx: Budget to Base ($M)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'Chart_Data'!B22</f>
            </strRef>
          </tx>
          <spPr>
            <a:noFill/>
            <a:ln>
              <a:noFill/>
              <a:prstDash val="solid"/>
            </a:ln>
          </spPr>
          <cat>
            <strRef>
              <f>'Chart_Data'!$A$23:$A$27</f>
            </strRef>
          </cat>
          <val>
            <numRef>
              <f>'Chart_Data'!$B$23:$B$27</f>
            </numRef>
          </val>
        </ser>
        <ser>
          <idx val="1"/>
          <order val="1"/>
          <tx>
            <strRef>
              <f>'Chart_Data'!C22</f>
            </strRef>
          </tx>
          <spPr>
            <a:solidFill>
              <a:srgbClr val="1F3864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'Chart_Data'!$A$23:$A$27</f>
            </strRef>
          </cat>
          <val>
            <numRef>
              <f>'Chart_Data'!$C$23:$C$27</f>
            </numRef>
          </val>
        </ser>
        <ser>
          <idx val="2"/>
          <order val="2"/>
          <tx>
            <strRef>
              <f>'Chart_Data'!D22</f>
            </strRef>
          </tx>
          <spPr>
            <a:solidFill>
              <a:srgbClr val="1E6B3A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'Chart_Data'!$A$23:$A$27</f>
            </strRef>
          </cat>
          <val>
            <numRef>
              <f>'Chart_Data'!$D$23:$D$27</f>
            </numRef>
          </val>
        </ser>
        <ser>
          <idx val="3"/>
          <order val="3"/>
          <tx>
            <strRef>
              <f>'Chart_Data'!E22</f>
            </strRef>
          </tx>
          <spPr>
            <a:solidFill>
              <a:srgbClr val="9C1F2E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'Chart_Data'!$A$23:$A$27</f>
            </strRef>
          </cat>
          <val>
            <numRef>
              <f>'Chart_Data'!$E$23:$E$27</f>
            </numRef>
          </val>
        </ser>
        <gapWidth val="3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 rot="-2700000" vert="horz"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$#,##0.0,,&quot;M&quot;;($#,##0.0,,&quot;M&quot;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plotVisOnly val="0"/>
    <dispBlanksAs val="gap"/>
  </chart>
  <spPr>
    <a:noFill/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FY2026 Operating Income / (Loss): Budget to Base ($M)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'Chart_Data'!B30</f>
            </strRef>
          </tx>
          <spPr>
            <a:noFill/>
            <a:ln>
              <a:noFill/>
              <a:prstDash val="solid"/>
            </a:ln>
          </spPr>
          <cat>
            <strRef>
              <f>'Chart_Data'!$A$31:$A$39</f>
            </strRef>
          </cat>
          <val>
            <numRef>
              <f>'Chart_Data'!$B$31:$B$39</f>
            </numRef>
          </val>
        </ser>
        <ser>
          <idx val="1"/>
          <order val="1"/>
          <tx>
            <strRef>
              <f>'Chart_Data'!C30</f>
            </strRef>
          </tx>
          <spPr>
            <a:solidFill>
              <a:srgbClr val="1F3864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'Chart_Data'!$A$31:$A$39</f>
            </strRef>
          </cat>
          <val>
            <numRef>
              <f>'Chart_Data'!$C$31:$C$39</f>
            </numRef>
          </val>
        </ser>
        <ser>
          <idx val="2"/>
          <order val="2"/>
          <tx>
            <strRef>
              <f>'Chart_Data'!D30</f>
            </strRef>
          </tx>
          <spPr>
            <a:solidFill>
              <a:srgbClr val="1E6B3A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'Chart_Data'!$A$31:$A$39</f>
            </strRef>
          </cat>
          <val>
            <numRef>
              <f>'Chart_Data'!$D$31:$D$39</f>
            </numRef>
          </val>
        </ser>
        <ser>
          <idx val="3"/>
          <order val="3"/>
          <tx>
            <strRef>
              <f>'Chart_Data'!E30</f>
            </strRef>
          </tx>
          <spPr>
            <a:solidFill>
              <a:srgbClr val="9C1F2E"/>
            </a:solidFill>
            <a:ln>
              <a:noFill/>
              <a:prstDash val="solid"/>
            </a:ln>
          </spPr>
          <dLbls>
            <numFmt formatCode="$#,##0.0,,&quot;M&quot;;($#,##0.0,,&quot;M&quot;);&quot;-&quot;"/>
            <txPr>
              <a:bodyPr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  <a:latin typeface="Calibri"/>
                </a:endParaRPr>
              </a:p>
            </txPr>
            <dLblPos val="ctr"/>
            <showLegendKey val="0"/>
            <showVal val="1"/>
            <showCatName val="0"/>
            <showSerName val="0"/>
          </dLbls>
          <cat>
            <strRef>
              <f>'Chart_Data'!$A$31:$A$39</f>
            </strRef>
          </cat>
          <val>
            <numRef>
              <f>'Chart_Data'!$E$31:$E$39</f>
            </numRef>
          </val>
        </ser>
        <gapWidth val="3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 rot="-2700000" vert="horz"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$#,##0.0,,&quot;M&quot;;($#,##0.0,,&quot;M&quot;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plotVisOnly val="0"/>
    <dispBlanksAs val="gap"/>
  </chart>
  <spPr>
    <a:noFill/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Monthly Exit ARR by scenario, Jan-2026 to Dec-2027 ($M)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'Chart_Data'!B95</f>
            </strRef>
          </tx>
          <spPr>
            <a:ln w="28000">
              <a:solidFill>
                <a:srgbClr val="9C1F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'Chart_Data'!$A$96:$A$119</f>
            </strRef>
          </cat>
          <val>
            <numRef>
              <f>'Chart_Data'!$B$96:$B$119</f>
            </numRef>
          </val>
          <smooth val="0"/>
        </ser>
        <ser>
          <idx val="1"/>
          <order val="1"/>
          <tx>
            <strRef>
              <f>'Chart_Data'!C95</f>
            </strRef>
          </tx>
          <spPr>
            <a:ln w="28000">
              <a:solidFill>
                <a:srgbClr val="2E5E8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'Chart_Data'!$A$96:$A$119</f>
            </strRef>
          </cat>
          <val>
            <numRef>
              <f>'Chart_Data'!$C$96:$C$119</f>
            </numRef>
          </val>
          <smooth val="0"/>
        </ser>
        <ser>
          <idx val="2"/>
          <order val="2"/>
          <tx>
            <strRef>
              <f>'Chart_Data'!D95</f>
            </strRef>
          </tx>
          <spPr>
            <a:ln w="28000">
              <a:solidFill>
                <a:srgbClr val="1E6B3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'Chart_Data'!$A$96:$A$119</f>
            </strRef>
          </cat>
          <val>
            <numRef>
              <f>'Chart_Data'!$D$96:$D$119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$#,##0.0,,&quot;M&quot;;($#,##0.0,,&quot;M&quot;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950" b="0">
              <a:solidFill>
                <a:srgbClr val="595959"/>
              </a:solidFill>
              <a:latin typeface="Calibri"/>
            </a:defRPr>
          </a:pPr>
          <a:r>
            <a:t/>
          </a:r>
          <a:endParaRPr sz="950" b="0">
            <a:solidFill>
              <a:srgbClr val="595959"/>
            </a:solidFill>
            <a:latin typeface="Calibri"/>
          </a:endParaRPr>
        </a:p>
      </txPr>
    </legend>
    <plotVisOnly val="0"/>
    <dispBlanksAs val="gap"/>
  </chart>
  <spPr>
    <a:noFill/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sz="1200" b="1">
                <a:solidFill>
                  <a:srgbClr val="1F3864"/>
                </a:solidFill>
                <a:latin typeface="Calibri"/>
              </a:rPr>
              <a:t>Dec-2027 incremental ARR against incremental cash consumed ($000)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'Chart_Data'!B122</f>
            </strRef>
          </tx>
          <spPr>
            <a:solidFill>
              <a:srgbClr val="2E5E8C"/>
            </a:solidFill>
            <a:ln>
              <a:noFill/>
              <a:prstDash val="solid"/>
            </a:ln>
          </spPr>
          <cat>
            <strRef>
              <f>'Chart_Data'!$A$123:$A$125</f>
            </strRef>
          </cat>
          <val>
            <numRef>
              <f>'Chart_Data'!$B$123:$B$125</f>
            </numRef>
          </val>
        </ser>
        <ser>
          <idx val="1"/>
          <order val="1"/>
          <tx>
            <strRef>
              <f>'Chart_Data'!C122</f>
            </strRef>
          </tx>
          <spPr>
            <a:solidFill>
              <a:srgbClr val="9C1F2E"/>
            </a:solidFill>
            <a:ln>
              <a:noFill/>
              <a:prstDash val="solid"/>
            </a:ln>
          </spPr>
          <cat>
            <strRef>
              <f>'Chart_Data'!$A$123:$A$125</f>
            </strRef>
          </cat>
          <val>
            <numRef>
              <f>'Chart_Data'!$C$123:$C$125</f>
            </numRef>
          </val>
        </ser>
        <dLbls>
          <numFmt formatCode="#,##0,;(#,##0,);&quot;-&quot;"/>
          <txPr>
            <a:bodyPr/>
            <a:p>
              <a:pPr>
                <a:defRPr sz="900" b="1">
                  <a:solidFill>
                    <a:srgbClr val="262626"/>
                  </a:solidFill>
                  <a:latin typeface="Calibri"/>
                </a:defRPr>
              </a:pPr>
              <a:r>
                <a:t/>
              </a:r>
              <a:endParaRPr sz="900" b="1">
                <a:solidFill>
                  <a:srgbClr val="262626"/>
                </a:solidFill>
                <a:latin typeface="Calibri"/>
              </a:endParaRPr>
            </a:p>
          </txPr>
          <showLegendKey val="0"/>
          <showVal val="1"/>
          <showCatName val="0"/>
          <showSerName val="0"/>
        </dLbls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,;(#,##0,);&quot;-&quot;" sourceLinked="0"/>
        <majorTickMark val="out"/>
        <minorTickMark val="none"/>
        <spPr>
          <a:ln w="6350">
            <a:solidFill>
              <a:srgbClr val="BFBFBF"/>
            </a:solidFill>
            <a:prstDash val="solid"/>
          </a:ln>
        </spPr>
        <txPr>
          <a:bodyPr/>
          <a:p>
            <a:pPr>
              <a:defRPr sz="950" b="0">
                <a:solidFill>
                  <a:srgbClr val="595959"/>
                </a:solidFill>
                <a:latin typeface="Calibri"/>
              </a:defRPr>
            </a:pPr>
            <a:r>
              <a:t/>
            </a:r>
            <a:endParaRPr sz="950" b="0">
              <a:solidFill>
                <a:srgbClr val="595959"/>
              </a:solidFill>
              <a:latin typeface="Calibri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950" b="0">
              <a:solidFill>
                <a:srgbClr val="595959"/>
              </a:solidFill>
              <a:latin typeface="Calibri"/>
            </a:defRPr>
          </a:pPr>
          <a:r>
            <a:t/>
          </a:r>
          <a:endParaRPr sz="950" b="0">
            <a:solidFill>
              <a:srgbClr val="595959"/>
            </a:solidFill>
            <a:latin typeface="Calibri"/>
          </a:endParaRPr>
        </a:p>
      </txPr>
    </legend>
    <plotVisOnly val="0"/>
    <dispBlanksAs val="gap"/>
  </chart>
  <spPr>
    <a:noFill/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6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29</row>
      <rowOff>0</rowOff>
    </from>
    <ext cx="68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52</row>
      <rowOff>0</rowOff>
    </from>
    <ext cx="68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75</row>
      <rowOff>0</rowOff>
    </from>
    <ext cx="68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6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29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52</row>
      <rowOff>0</rowOff>
    </from>
    <ext cx="86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75</row>
      <rowOff>0</rowOff>
    </from>
    <ext cx="864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6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ontrols" displayName="tbl_controls" ref="B14:F20" headerRowCount="1">
  <autoFilter ref="B14:F20"/>
  <tableColumns count="5">
    <tableColumn id="2" name="Control"/>
    <tableColumn id="3" name="Phase"/>
    <tableColumn id="4" name="What it enforces"/>
    <tableColumn id="5" name="Violations"/>
    <tableColumn id="6" name="Statu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_arr_monthly" displayName="tbl_arr_monthly" ref="A1:L97" headerRowCount="1">
  <autoFilter ref="A1:L97"/>
  <tableColumns count="12">
    <tableColumn id="1" name="month_end_date"/>
    <tableColumn id="2" name="month_label"/>
    <tableColumn id="3" name="segment"/>
    <tableColumn id="4" name="period_type"/>
    <tableColumn id="5" name="beginning_arr"/>
    <tableColumn id="6" name="new_logo_arr"/>
    <tableColumn id="7" name="expansion_arr"/>
    <tableColumn id="8" name="reactivation_arr"/>
    <tableColumn id="9" name="contraction_arr"/>
    <tableColumn id="10" name="churn_arr"/>
    <tableColumn id="11" name="net_new_arr"/>
    <tableColumn id="12" name="ending_ar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_segment_arr" displayName="tbl_segment_arr" ref="O1:S5" headerRowCount="1">
  <autoFilter ref="O1:S5"/>
  <tableColumns count="5">
    <tableColumn id="15" name="segment"/>
    <tableColumn id="16" name="jun_2026_actual_arr"/>
    <tableColumn id="17" name="dec_2026_base_arr"/>
    <tableColumn id="18" name="h2_2026_net_new_arr"/>
    <tableColumn id="19" name="share_of_dec_2026_ar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_retention" displayName="tbl_retention" ref="A1:H77" headerRowCount="1">
  <autoFilter ref="A1:H77"/>
  <tableColumns count="8">
    <tableColumn id="1" name="month_end_date"/>
    <tableColumn id="2" name="month_label"/>
    <tableColumn id="3" name="segment"/>
    <tableColumn id="4" name="cohort_customers"/>
    <tableColumn id="5" name="cohort_beginning_arr"/>
    <tableColumn id="6" name="nrr"/>
    <tableColumn id="7" name="grr"/>
    <tableColumn id="8" name="logo_reten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_retention_trend" displayName="tbl_retention_trend" ref="K1:O20" headerRowCount="1">
  <autoFilter ref="K1:O20"/>
  <tableColumns count="5">
    <tableColumn id="11" name="month_end_date"/>
    <tableColumn id="12" name="month_label"/>
    <tableColumn id="13" name="NRR"/>
    <tableColumn id="14" name="GRR"/>
    <tableColumn id="15" name="Logo retent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bl_atr" displayName="tbl_atr" ref="Q1:T25" headerRowCount="1">
  <autoFilter ref="Q1:T25"/>
  <tableColumns count="4">
    <tableColumn id="17" name="renewal_quarter"/>
    <tableColumn id="18" name="segment"/>
    <tableColumn id="19" name="contracts"/>
    <tableColumn id="20" name="atr_ar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bl_atr_pivot" displayName="tbl_atr_pivot" ref="V1:Z7" headerRowCount="1">
  <autoFilter ref="V1:Z7"/>
  <tableColumns count="5">
    <tableColumn id="22" name="renewal_quarter"/>
    <tableColumn id="23" name="SMB"/>
    <tableColumn id="24" name="Mid-Market"/>
    <tableColumn id="25" name="Enterprise"/>
    <tableColumn id="26" name="Total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bl_gtm_capacity" displayName="tbl_gtm_capacity" ref="A1:H5" headerRowCount="1">
  <autoFilter ref="A1:H5"/>
  <tableColumns count="8">
    <tableColumn id="1" name="segment"/>
    <tableColumn id="2" name="quota_carrying_reps"/>
    <tableColumn id="3" name="expected_attainment"/>
    <tableColumn id="4" name="new_logo_share_of_bookings"/>
    <tableColumn id="5" name="theoretical_quota_capacity"/>
    <tableColumn id="6" name="blended_productive_capacity"/>
    <tableColumn id="7" name="new_logo_productive_capacity"/>
    <tableColumn id="8" name="actual_booking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bl_gtm_constraint" displayName="tbl_gtm_constraint" ref="J1:U5" headerRowCount="1">
  <autoFilter ref="J1:U5"/>
  <tableColumns count="12">
    <tableColumn id="10" name="segment"/>
    <tableColumn id="11" name="h2_capacity_supported_arr"/>
    <tableColumn id="12" name="h2_pipeline_supported_arr"/>
    <tableColumn id="13" name="h2_constrained_new_logo_arr"/>
    <tableColumn id="14" name="primary_binding_constraint"/>
    <tableColumn id="15" name="h2_segment_months"/>
    <tableColumn id="16" name="h2_pipeline_bound_months"/>
    <tableColumn id="17" name="h2_capacity_bound_months"/>
    <tableColumn id="18" name="pipeline_share_of_h2_months"/>
    <tableColumn id="19" name="budget_new_logo_arr"/>
    <tableColumn id="20" name="base_new_logo_arr"/>
    <tableColumn id="21" name="new_logo_arr_varianc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bl_gtm_monthly" displayName="tbl_gtm_monthly" ref="X1:AF19" headerRowCount="1">
  <autoFilter ref="X1:AF19"/>
  <tableColumns count="9">
    <tableColumn id="24" name="month_end_date"/>
    <tableColumn id="25" name="month_label"/>
    <tableColumn id="26" name="segment"/>
    <tableColumn id="27" name="theoretical_capacity"/>
    <tableColumn id="28" name="blended_capacity"/>
    <tableColumn id="29" name="new_logo_capacity"/>
    <tableColumn id="30" name="pipeline_supported_bookings"/>
    <tableColumn id="31" name="constrained_new_logo_arr"/>
    <tableColumn id="32" name="binding_constrain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bl_win_rate" displayName="tbl_win_rate" ref="AH1:AN5" headerRowCount="1">
  <autoFilter ref="AH1:AN5"/>
  <tableColumns count="7">
    <tableColumn id="34" name="segment"/>
    <tableColumn id="35" name="closed_won"/>
    <tableColumn id="36" name="closed_lost"/>
    <tableColumn id="37" name="win_rate"/>
    <tableColumn id="38" name="required_pipeline_per_dollar"/>
    <tableColumn id="39" name="median_sales_cycle_days"/>
    <tableColumn id="40" name="mean_sales_cycle_day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bl_unit_econ" displayName="tbl_unit_econ" ref="AP1:AX5" headerRowCount="1">
  <autoFilter ref="AP1:AX5"/>
  <tableColumns count="9">
    <tableColumn id="42" name="segment"/>
    <tableColumn id="43" name="new_logos"/>
    <tableColumn id="44" name="new_logo_arr"/>
    <tableColumn id="45" name="acquisition_sm_lagged"/>
    <tableColumn id="46" name="gross_margin_pct"/>
    <tableColumn id="47" name="new_logo_arpa"/>
    <tableColumn id="48" name="cac"/>
    <tableColumn id="49" name="cac_per_dollar_new_logo_arr"/>
    <tableColumn id="50" name="cac_payback_months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bl_sales_efficiency" displayName="tbl_sales_efficiency" ref="AZ1:BD10" headerRowCount="1">
  <autoFilter ref="AZ1:BD10"/>
  <tableColumns count="5">
    <tableColumn id="52" name="fiscal_quarter"/>
    <tableColumn id="53" name="net_new_arr"/>
    <tableColumn id="54" name="prior_quarter_sm"/>
    <tableColumn id="55" name="net_arr_sales_efficiency"/>
    <tableColumn id="56" name="magic_numbe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bl_pipeline" displayName="tbl_pipeline" ref="BF1:BJ8" headerRowCount="1">
  <autoFilter ref="BF1:BJ8"/>
  <tableColumns count="5">
    <tableColumn id="58" name="expected_close_quarter"/>
    <tableColumn id="59" name="deal_type"/>
    <tableColumn id="60" name="opportunities"/>
    <tableColumn id="61" name="unweighted_acv"/>
    <tableColumn id="62" name="weighted_acv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bl_pnl_summary" displayName="tbl_pnl_summary" ref="A1:J15" headerRowCount="1">
  <autoFilter ref="A1:J15"/>
  <tableColumns count="10">
    <tableColumn id="1" name="line_key"/>
    <tableColumn id="2" name="line_item"/>
    <tableColumn id="3" name="line_kind"/>
    <tableColumn id="4" name="unit"/>
    <tableColumn id="5" name="fy2025_actual"/>
    <tableColumn id="6" name="h1_2026_actual"/>
    <tableColumn id="7" name="h2_2026_base"/>
    <tableColumn id="8" name="fy2026_base"/>
    <tableColumn id="9" name="fy2026_budget"/>
    <tableColumn id="10" name="polarity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bl_pnl_monthly" displayName="tbl_pnl_monthly" ref="M1:AC25" headerRowCount="1">
  <autoFilter ref="M1:AC25"/>
  <tableColumns count="17">
    <tableColumn id="13" name="month_end_date"/>
    <tableColumn id="14" name="month_label"/>
    <tableColumn id="15" name="period_type"/>
    <tableColumn id="16" name="subscription_revenue"/>
    <tableColumn id="17" name="services_revenue"/>
    <tableColumn id="18" name="total_revenue"/>
    <tableColumn id="19" name="subscription_cogs"/>
    <tableColumn id="20" name="services_cogs"/>
    <tableColumn id="21" name="total_cogs"/>
    <tableColumn id="22" name="gross_profit"/>
    <tableColumn id="23" name="gross_margin_pct"/>
    <tableColumn id="24" name="sales_marketing"/>
    <tableColumn id="25" name="research_development"/>
    <tableColumn id="26" name="general_administrative"/>
    <tableColumn id="27" name="total_opex"/>
    <tableColumn id="28" name="operating_income"/>
    <tableColumn id="29" name="operating_margin_pct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bl_headcount_function" displayName="tbl_headcount_function" ref="AE1:AF9" headerRowCount="1">
  <autoFilter ref="AE1:AF9"/>
  <tableColumns count="2">
    <tableColumn id="31" name="function"/>
    <tableColumn id="32" name="ending_headcount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bl_arr_bridge" displayName="tbl_arr_bridge" ref="A1:K9" headerRowCount="1">
  <autoFilter ref="A1:K9"/>
  <tableColumns count="11">
    <tableColumn id="1" name="line_order"/>
    <tableColumn id="2" name="line_item"/>
    <tableColumn id="3" name="driver_category"/>
    <tableColumn id="4" name="amount"/>
    <tableColumn id="5" name="running_balance"/>
    <tableColumn id="6" name="residual"/>
    <tableColumn id="7" name="line_kind"/>
    <tableColumn id="8" name="chart_invisible"/>
    <tableColumn id="9" name="chart_total"/>
    <tableColumn id="10" name="chart_increase"/>
    <tableColumn id="11" name="chart_decreas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bl_gp_bridge" displayName="tbl_gp_bridge" ref="N1:X8" headerRowCount="1">
  <autoFilter ref="N1:X8"/>
  <tableColumns count="11">
    <tableColumn id="14" name="line_order"/>
    <tableColumn id="15" name="line_item"/>
    <tableColumn id="16" name="unit"/>
    <tableColumn id="17" name="amount"/>
    <tableColumn id="18" name="running_balance"/>
    <tableColumn id="19" name="residual"/>
    <tableColumn id="20" name="line_kind"/>
    <tableColumn id="21" name="chart_invisible"/>
    <tableColumn id="22" name="chart_total"/>
    <tableColumn id="23" name="chart_increase"/>
    <tableColumn id="24" name="chart_decreas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bl_opex_bridge" displayName="tbl_opex_bridge" ref="AA1:AK6" headerRowCount="1">
  <autoFilter ref="AA1:AK6"/>
  <tableColumns count="11">
    <tableColumn id="27" name="category"/>
    <tableColumn id="28" name="line_order"/>
    <tableColumn id="29" name="line_item"/>
    <tableColumn id="30" name="amount"/>
    <tableColumn id="31" name="running_balance"/>
    <tableColumn id="32" name="residual"/>
    <tableColumn id="33" name="line_kind"/>
    <tableColumn id="34" name="chart_invisible"/>
    <tableColumn id="35" name="chart_total"/>
    <tableColumn id="36" name="chart_increase"/>
    <tableColumn id="37" name="chart_decrease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bl_oi_bridge" displayName="tbl_oi_bridge" ref="AN1:AW10" headerRowCount="1">
  <autoFilter ref="AN1:AW10"/>
  <tableColumns count="10">
    <tableColumn id="40" name="line_order"/>
    <tableColumn id="41" name="line_item"/>
    <tableColumn id="42" name="amount"/>
    <tableColumn id="43" name="running_balance"/>
    <tableColumn id="44" name="residual"/>
    <tableColumn id="45" name="line_kind"/>
    <tableColumn id="46" name="chart_invisible"/>
    <tableColumn id="47" name="chart_total"/>
    <tableColumn id="48" name="chart_increase"/>
    <tableColumn id="49" name="chart_decreas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bl_rev_bridge" displayName="tbl_rev_bridge" ref="AY1:BD16" headerRowCount="1">
  <autoFilter ref="AY1:BD16"/>
  <tableColumns count="6">
    <tableColumn id="51" name="revenue_line"/>
    <tableColumn id="52" name="line_order"/>
    <tableColumn id="53" name="line_item"/>
    <tableColumn id="54" name="amount"/>
    <tableColumn id="55" name="running_balance"/>
    <tableColumn id="56" name="residual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bl_mgmt_variance" displayName="tbl_mgmt_variance" ref="BF1:BR12" headerRowCount="1">
  <autoFilter ref="BF1:BR12"/>
  <tableColumns count="13">
    <tableColumn id="58" name="metric"/>
    <tableColumn id="59" name="metric_label"/>
    <tableColumn id="60" name="period"/>
    <tableColumn id="61" name="unit"/>
    <tableColumn id="62" name="budget_amount"/>
    <tableColumn id="63" name="base_amount"/>
    <tableColumn id="64" name="variance"/>
    <tableColumn id="65" name="variance_pct"/>
    <tableColumn id="66" name="favorable_unfavorable"/>
    <tableColumn id="67" name="polarity"/>
    <tableColumn id="68" name="rank_abs_variance"/>
    <tableColumn id="69" name="materiality_flag"/>
    <tableColumn id="70" name="source_model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bl_arr_bridge_segment" displayName="tbl_arr_bridge_segment" ref="BT1:CA33" headerRowCount="1">
  <autoFilter ref="BT1:CA33"/>
  <tableColumns count="8">
    <tableColumn id="72" name="segment"/>
    <tableColumn id="73" name="line_order"/>
    <tableColumn id="74" name="line_item"/>
    <tableColumn id="75" name="driver_category"/>
    <tableColumn id="76" name="amount"/>
    <tableColumn id="77" name="running_balance"/>
    <tableColumn id="78" name="budget_grain"/>
    <tableColumn id="79" name="residual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bl_opex_bridge_all" displayName="tbl_opex_bridge_all" ref="CC1:CH19" headerRowCount="1">
  <autoFilter ref="CC1:CH19"/>
  <tableColumns count="6">
    <tableColumn id="81" name="category"/>
    <tableColumn id="82" name="line_order"/>
    <tableColumn id="83" name="line_item"/>
    <tableColumn id="84" name="amount"/>
    <tableColumn id="85" name="running_balance"/>
    <tableColumn id="86" name="residual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bl_gm_bridge" displayName="tbl_gm_bridge" ref="CJ1:CM4" headerRowCount="1">
  <autoFilter ref="CJ1:CM4"/>
  <tableColumns count="4">
    <tableColumn id="88" name="line_order"/>
    <tableColumn id="89" name="line_item"/>
    <tableColumn id="90" name="unit"/>
    <tableColumn id="91" name="amount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bl_scenario_summary" displayName="tbl_scenario_summary" ref="A1:Q4" headerRowCount="1">
  <autoFilter ref="A1:Q4"/>
  <tableColumns count="17">
    <tableColumn id="1" name="scenario"/>
    <tableColumn id="2" name="dec_2026_exit_arr"/>
    <tableColumn id="3" name="fy2026_revenue"/>
    <tableColumn id="4" name="fy2026_operating_income"/>
    <tableColumn id="5" name="dec_2027_exit_arr"/>
    <tableColumn id="6" name="dec_2026_cash"/>
    <tableColumn id="7" name="dec_2027_cash"/>
    <tableColumn id="8" name="policy_avg_monthly_burn"/>
    <tableColumn id="9" name="policy_runway_months"/>
    <tableColumn id="10" name="headroom_months"/>
    <tableColumn id="11" name="board_runway_floor_months"/>
    <tableColumn id="12" name="breaches_floor"/>
    <tableColumn id="13" name="win_rate_multiplier"/>
    <tableColumn id="14" name="attainment_multiplier"/>
    <tableColumn id="15" name="pipeline_creation_multiplier"/>
    <tableColumn id="16" name="retention_severity_multiplier"/>
    <tableColumn id="17" name="expansion_multiplier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bl_scenario_trajectory" displayName="tbl_scenario_trajectory" ref="S1:W25" headerRowCount="1">
  <autoFilter ref="S1:W25"/>
  <tableColumns count="5">
    <tableColumn id="19" name="month_end_date"/>
    <tableColumn id="20" name="month_label"/>
    <tableColumn id="21" name="Bear"/>
    <tableColumn id="22" name="Base"/>
    <tableColumn id="23" name="Bull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bl_scenario_drivers" displayName="tbl_scenario_drivers" ref="Z1:AG39" headerRowCount="1">
  <autoFilter ref="Z1:AG39"/>
  <tableColumns count="8">
    <tableColumn id="26" name="driver_category"/>
    <tableColumn id="27" name="driver_name"/>
    <tableColumn id="28" name="segment"/>
    <tableColumn id="29" name="unit"/>
    <tableColumn id="30" name="source_type"/>
    <tableColumn id="31" name="Bear"/>
    <tableColumn id="32" name="Base"/>
    <tableColumn id="33" name="Bull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bl_runway_policy" displayName="tbl_runway_policy" ref="A1:I6" headerRowCount="1">
  <autoFilter ref="A1:I6"/>
  <tableColumns count="9">
    <tableColumn id="1" name="path"/>
    <tableColumn id="2" name="view"/>
    <tableColumn id="3" name="label"/>
    <tableColumn id="4" name="policy_avg_monthly_burn"/>
    <tableColumn id="5" name="opening_cash"/>
    <tableColumn id="6" name="policy_runway_months"/>
    <tableColumn id="7" name="board_runway_floor_months"/>
    <tableColumn id="8" name="headroom_months"/>
    <tableColumn id="9" name="breaches_floor_flag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bl_hiring" displayName="tbl_hiring" ref="L1:Z4" headerRowCount="1">
  <autoFilter ref="L1:Z4"/>
  <tableColumns count="15">
    <tableColumn id="12" name="case_label"/>
    <tableColumn id="13" name="path"/>
    <tableColumn id="14" name="cumulative_hires"/>
    <tableColumn id="15" name="h2_2026_new_logo_capacity"/>
    <tableColumn id="16" name="policy_avg_monthly_burn"/>
    <tableColumn id="17" name="policy_runway_months"/>
    <tableColumn id="18" name="board_runway_floor_months"/>
    <tableColumn id="19" name="headroom_months"/>
    <tableColumn id="20" name="breaches_floor_flag"/>
    <tableColumn id="21" name="dec_2027_incremental_arr"/>
    <tableColumn id="22" name="dec_2027_incremental_operating_income"/>
    <tableColumn id="23" name="dec_2027_incremental_cash"/>
    <tableColumn id="24" name="dec_2026_incremental_arr"/>
    <tableColumn id="25" name="dec_2026_incremental_cash"/>
    <tableColumn id="26" name="primary_binding_constraint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bl_subscription_accounting" displayName="tbl_subscription_accounting" ref="A1:I4" headerRowCount="1">
  <autoFilter ref="A1:I4"/>
  <tableColumns count="9">
    <tableColumn id="1" name="period"/>
    <tableColumn id="2" name="bookings_tcv"/>
    <tableColumn id="3" name="bookings_acv"/>
    <tableColumn id="4" name="subscription_billings"/>
    <tableColumn id="5" name="exit_arr"/>
    <tableColumn id="6" name="contract_analytical_revenue"/>
    <tableColumn id="7" name="gl_subscription_revenue"/>
    <tableColumn id="8" name="ending_deferred_revenue"/>
    <tableColumn id="9" name="ending_unbilled_receivable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id="33" name="tbl_deferred_revenue" displayName="tbl_deferred_revenue" ref="K1:R11" headerRowCount="1">
  <autoFilter ref="K1:R11"/>
  <tableColumns count="8">
    <tableColumn id="11" name="fiscal_quarter"/>
    <tableColumn id="12" name="beginning_deferred_revenue"/>
    <tableColumn id="13" name="billings"/>
    <tableColumn id="14" name="revenue_recognised"/>
    <tableColumn id="15" name="unbilled_receivable_movement"/>
    <tableColumn id="16" name="ending_deferred_revenue"/>
    <tableColumn id="17" name="ending_unbilled_receivable"/>
    <tableColumn id="18" name="rollforward_residual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id="34" name="tbl_commission" displayName="tbl_commission" ref="U1:AD6" headerRowCount="1">
  <autoFilter ref="U1:AD6"/>
  <tableColumns count="10">
    <tableColumn id="21" name="period"/>
    <tableColumn id="22" name="basis"/>
    <tableColumn id="23" name="beginning_commission_asset"/>
    <tableColumn id="24" name="commission_earned"/>
    <tableColumn id="25" name="immediate_expense"/>
    <tableColumn id="26" name="capitalised_commission"/>
    <tableColumn id="27" name="commission_amortisation"/>
    <tableColumn id="28" name="gaap_commission_expense"/>
    <tableColumn id="29" name="commission_paid_cash"/>
    <tableColumn id="30" name="ending_commission_asset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id="35" name="tbl_accounting_adjustment" displayName="tbl_accounting_adjustment" ref="AG1:AK4" headerRowCount="1">
  <autoFilter ref="AG1:AK4"/>
  <tableColumns count="5">
    <tableColumn id="33" name="period"/>
    <tableColumn id="34" name="commission_accounting_adjustment"/>
    <tableColumn id="35" name="phase6_total_revenue"/>
    <tableColumn id="36" name="adjustment_pct_of_revenue"/>
    <tableColumn id="37" name="largest_monthly_adjustment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id="36" name="tbl_commentary" displayName="tbl_commentary" ref="A1:K10" headerRowCount="1">
  <autoFilter ref="A1:K10"/>
  <tableColumns count="11">
    <tableColumn id="1" name="exec_rank"/>
    <tableColumn id="2" name="commentary_id"/>
    <tableColumn id="3" name="priority"/>
    <tableColumn id="4" name="section"/>
    <tableColumn id="5" name="metric"/>
    <tableColumn id="6" name="headline"/>
    <tableColumn id="7" name="detail"/>
    <tableColumn id="8" name="supporting_evidence"/>
    <tableColumn id="9" name="management_implication"/>
    <tableColumn id="10" name="materiality_score"/>
    <tableColumn id="11" name="source_mod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Relationship Type="http://schemas.openxmlformats.org/officeDocument/2006/relationships/table" Target="/xl/tables/table10.xml" Id="rId3" /><Relationship Type="http://schemas.openxmlformats.org/officeDocument/2006/relationships/table" Target="/xl/tables/table11.xml" Id="rId4" /><Relationship Type="http://schemas.openxmlformats.org/officeDocument/2006/relationships/table" Target="/xl/tables/table12.xml" Id="rId5" /><Relationship Type="http://schemas.openxmlformats.org/officeDocument/2006/relationships/table" Target="/xl/tables/table13.xml" Id="rId6" /><Relationship Type="http://schemas.openxmlformats.org/officeDocument/2006/relationships/table" Target="/xl/tables/table14.xml" Id="rId7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Relationship Type="http://schemas.openxmlformats.org/officeDocument/2006/relationships/table" Target="/xl/tables/table17.xml" Id="rId3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8.xml" Id="rId1" /><Relationship Type="http://schemas.openxmlformats.org/officeDocument/2006/relationships/table" Target="/xl/tables/table19.xml" Id="rId2" /><Relationship Type="http://schemas.openxmlformats.org/officeDocument/2006/relationships/table" Target="/xl/tables/table20.xml" Id="rId3" /><Relationship Type="http://schemas.openxmlformats.org/officeDocument/2006/relationships/table" Target="/xl/tables/table21.xml" Id="rId4" /><Relationship Type="http://schemas.openxmlformats.org/officeDocument/2006/relationships/table" Target="/xl/tables/table22.xml" Id="rId5" /><Relationship Type="http://schemas.openxmlformats.org/officeDocument/2006/relationships/table" Target="/xl/tables/table23.xml" Id="rId6" /><Relationship Type="http://schemas.openxmlformats.org/officeDocument/2006/relationships/table" Target="/xl/tables/table24.xml" Id="rId7" /><Relationship Type="http://schemas.openxmlformats.org/officeDocument/2006/relationships/table" Target="/xl/tables/table25.xml" Id="rId8" /><Relationship Type="http://schemas.openxmlformats.org/officeDocument/2006/relationships/table" Target="/xl/tables/table26.xml" Id="rId9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7.xml" Id="rId1" /><Relationship Type="http://schemas.openxmlformats.org/officeDocument/2006/relationships/table" Target="/xl/tables/table28.xml" Id="rId2" /><Relationship Type="http://schemas.openxmlformats.org/officeDocument/2006/relationships/table" Target="/xl/tables/table29.xml" Id="rId3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30.xml" Id="rId1" /><Relationship Type="http://schemas.openxmlformats.org/officeDocument/2006/relationships/table" Target="/xl/tables/table31.xml" Id="rId2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2.xml" Id="rId1" /><Relationship Type="http://schemas.openxmlformats.org/officeDocument/2006/relationships/table" Target="/xl/tables/table33.xml" Id="rId2" /><Relationship Type="http://schemas.openxmlformats.org/officeDocument/2006/relationships/table" Target="/xl/tables/table34.xml" Id="rId3" /><Relationship Type="http://schemas.openxmlformats.org/officeDocument/2006/relationships/table" Target="/xl/tables/table35.xml" Id="rId4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56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4" customHeight="1"/>
  <cols>
    <col width="1.8" customWidth="1" min="1" max="1"/>
    <col width="2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7" customHeight="1">
      <c r="B7" s="5" t="inlineStr">
        <is>
          <t>Headline position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6.5" customHeight="1"/>
    <row r="9" ht="12" customHeight="1">
      <c r="B9" s="7" t="inlineStr">
        <is>
          <t>JUN-26 ARR ACTUAL</t>
        </is>
      </c>
      <c r="D9" s="7" t="inlineStr">
        <is>
          <t>DEC-26 BUDGET ARR</t>
        </is>
      </c>
      <c r="F9" s="7" t="inlineStr">
        <is>
          <t>DEC-26 BASE ARR</t>
        </is>
      </c>
      <c r="H9" s="7" t="inlineStr">
        <is>
          <t>ARR VS BUDGET</t>
        </is>
      </c>
      <c r="J9" s="7" t="inlineStr">
        <is>
          <t>FY2026 REVENUE</t>
        </is>
      </c>
    </row>
    <row r="10" ht="21" customHeight="1">
      <c r="B10" s="8" t="n">
        <v>33016720.32</v>
      </c>
      <c r="D10" s="8" t="n">
        <v>37589315.84</v>
      </c>
      <c r="F10" s="8" t="n">
        <v>34816416.56479766</v>
      </c>
      <c r="H10" s="9" t="n">
        <v>-2772899.275202341</v>
      </c>
      <c r="J10" s="8" t="n">
        <v>32790970.25165137</v>
      </c>
    </row>
    <row r="11" ht="11.5" customHeight="1">
      <c r="B11" s="10" t="inlineStr">
        <is>
          <t>Phase 3 ARR engine</t>
        </is>
      </c>
      <c r="D11" s="10" t="inlineStr">
        <is>
          <t>FY2026 Board-Approved</t>
        </is>
      </c>
      <c r="F11" s="10" t="inlineStr">
        <is>
          <t>Independent Phase 6 build</t>
        </is>
      </c>
      <c r="H11" s="10" t="inlineStr">
        <is>
          <t>7.4% below Budget</t>
        </is>
      </c>
      <c r="J11" s="10" t="inlineStr">
        <is>
          <t>H1 actual + H2 reforecast</t>
        </is>
      </c>
    </row>
    <row r="12" ht="5" customHeight="1">
      <c r="B12" s="4" t="n"/>
      <c r="D12" s="4" t="n"/>
      <c r="F12" s="4" t="n"/>
      <c r="H12" s="4" t="n"/>
      <c r="J12" s="4" t="n"/>
    </row>
    <row r="13" ht="12" customHeight="1">
      <c r="B13" s="7" t="inlineStr">
        <is>
          <t>FY2026 GROSS MARGIN</t>
        </is>
      </c>
      <c r="D13" s="7" t="inlineStr">
        <is>
          <t>FY2026 OPERATING LOSS</t>
        </is>
      </c>
      <c r="F13" s="7" t="inlineStr">
        <is>
          <t>DEC-26 HEADCOUNT</t>
        </is>
      </c>
      <c r="H13" s="7" t="inlineStr">
        <is>
          <t>BASE POLICY RUNWAY</t>
        </is>
      </c>
      <c r="J13" s="7" t="inlineStr">
        <is>
          <t>BOARD RUNWAY FLOOR</t>
        </is>
      </c>
    </row>
    <row r="14" ht="21" customHeight="1">
      <c r="B14" s="11" t="n">
        <v>0.7835929153338078</v>
      </c>
      <c r="D14" s="12" t="n">
        <v>-5713689.171131236</v>
      </c>
      <c r="F14" s="13" t="n">
        <v>217.6624673318395</v>
      </c>
      <c r="H14" s="14" t="n">
        <v>25.64705882352941</v>
      </c>
      <c r="J14" s="15" t="n">
        <v>24</v>
      </c>
    </row>
    <row r="15" ht="11.5" customHeight="1">
      <c r="B15" s="10" t="inlineStr">
        <is>
          <t>Base reforecast</t>
        </is>
      </c>
      <c r="D15" s="10" t="inlineStr">
        <is>
          <t>Base reforecast</t>
        </is>
      </c>
      <c r="F15" s="10" t="inlineStr">
        <is>
          <t>Expected-value FTE</t>
        </is>
      </c>
      <c r="H15" s="10" t="inlineStr">
        <is>
          <t>+1.6 mo of headroom</t>
        </is>
      </c>
      <c r="J15" s="10" t="inlineStr">
        <is>
          <t>Governance floor</t>
        </is>
      </c>
    </row>
    <row r="16" ht="5" customHeight="1">
      <c r="B16" s="4" t="n"/>
      <c r="D16" s="4" t="n"/>
      <c r="F16" s="4" t="n"/>
      <c r="H16" s="4" t="n"/>
      <c r="J16" s="4" t="n"/>
    </row>
    <row r="17" ht="6.5" customHeight="1"/>
    <row r="18" ht="17" customHeight="1">
      <c r="B18" s="5" t="inlineStr">
        <is>
          <t>FY2026 Board Budget vs Base reforecast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12.5" customHeight="1">
      <c r="B19" s="16" t="inlineStr">
        <is>
          <t>Units differ by row. Gross Margin shows Budget and Base as percentages and the variance in basis points -- a display rendering of the stored bps calculation.</t>
        </is>
      </c>
    </row>
    <row r="20" ht="6.5" customHeight="1"/>
    <row r="21" ht="25" customHeight="1">
      <c r="B21" s="17" t="inlineStr">
        <is>
          <t>Metric</t>
        </is>
      </c>
      <c r="C21" s="18" t="inlineStr"/>
      <c r="D21" s="18" t="inlineStr">
        <is>
          <t>Budget</t>
        </is>
      </c>
      <c r="E21" s="18" t="inlineStr">
        <is>
          <t>Base reforecast</t>
        </is>
      </c>
      <c r="F21" s="18" t="inlineStr">
        <is>
          <t>Variance</t>
        </is>
      </c>
      <c r="G21" s="18" t="inlineStr">
        <is>
          <t>Var %</t>
        </is>
      </c>
      <c r="H21" s="18" t="inlineStr">
        <is>
          <t>Fav / Unfav</t>
        </is>
      </c>
    </row>
    <row r="22" ht="14" customHeight="1">
      <c r="B22" s="19" t="inlineStr">
        <is>
          <t>Exit ARR  Dec-2026</t>
        </is>
      </c>
      <c r="D22" s="20">
        <f>_xlfn.XLOOKUP("Exit ARR",tbl_mgmt_variance[metric_label],tbl_mgmt_variance[budget_amount])</f>
        <v/>
      </c>
      <c r="E22" s="21">
        <f>_xlfn.XLOOKUP("Exit ARR",tbl_mgmt_variance[metric_label],tbl_mgmt_variance[base_amount])</f>
        <v/>
      </c>
      <c r="F22" s="22">
        <f>E22-D22</f>
        <v/>
      </c>
      <c r="G22" s="23">
        <f>IF(D22=0,"",E22/D22-1)</f>
        <v/>
      </c>
      <c r="H22" s="24">
        <f>_xlfn.XLOOKUP("Exit ARR",tbl_mgmt_variance[metric_label],tbl_mgmt_variance[favorable_unfavorable])</f>
        <v/>
      </c>
    </row>
    <row r="23" ht="14" customHeight="1">
      <c r="B23" s="19" t="inlineStr">
        <is>
          <t>New Logo ARR  FY2026</t>
        </is>
      </c>
      <c r="D23" s="20">
        <f>_xlfn.XLOOKUP("New Logo ARR",tbl_mgmt_variance[metric_label],tbl_mgmt_variance[budget_amount])</f>
        <v/>
      </c>
      <c r="E23" s="21">
        <f>_xlfn.XLOOKUP("New Logo ARR",tbl_mgmt_variance[metric_label],tbl_mgmt_variance[base_amount])</f>
        <v/>
      </c>
      <c r="F23" s="22">
        <f>E23-D23</f>
        <v/>
      </c>
      <c r="G23" s="23">
        <f>IF(D23=0,"",E23/D23-1)</f>
        <v/>
      </c>
      <c r="H23" s="24">
        <f>_xlfn.XLOOKUP("New Logo ARR",tbl_mgmt_variance[metric_label],tbl_mgmt_variance[favorable_unfavorable])</f>
        <v/>
      </c>
    </row>
    <row r="24" ht="14" customHeight="1">
      <c r="B24" s="19" t="inlineStr">
        <is>
          <t>Revenue  FY2026</t>
        </is>
      </c>
      <c r="D24" s="20">
        <f>_xlfn.XLOOKUP("Revenue",tbl_mgmt_variance[metric_label],tbl_mgmt_variance[budget_amount])</f>
        <v/>
      </c>
      <c r="E24" s="21">
        <f>_xlfn.XLOOKUP("Revenue",tbl_mgmt_variance[metric_label],tbl_mgmt_variance[base_amount])</f>
        <v/>
      </c>
      <c r="F24" s="22">
        <f>E24-D24</f>
        <v/>
      </c>
      <c r="G24" s="23">
        <f>IF(D24=0,"",E24/D24-1)</f>
        <v/>
      </c>
      <c r="H24" s="24">
        <f>_xlfn.XLOOKUP("Revenue",tbl_mgmt_variance[metric_label],tbl_mgmt_variance[favorable_unfavorable])</f>
        <v/>
      </c>
    </row>
    <row r="25" ht="14" customHeight="1">
      <c r="B25" s="19" t="inlineStr">
        <is>
          <t>Gross Profit  FY2026</t>
        </is>
      </c>
      <c r="D25" s="20">
        <f>_xlfn.XLOOKUP("Gross Profit",tbl_mgmt_variance[metric_label],tbl_mgmt_variance[budget_amount])</f>
        <v/>
      </c>
      <c r="E25" s="21">
        <f>_xlfn.XLOOKUP("Gross Profit",tbl_mgmt_variance[metric_label],tbl_mgmt_variance[base_amount])</f>
        <v/>
      </c>
      <c r="F25" s="22">
        <f>E25-D25</f>
        <v/>
      </c>
      <c r="G25" s="23">
        <f>IF(D25=0,"",E25/D25-1)</f>
        <v/>
      </c>
      <c r="H25" s="24">
        <f>_xlfn.XLOOKUP("Gross Profit",tbl_mgmt_variance[metric_label],tbl_mgmt_variance[favorable_unfavorable])</f>
        <v/>
      </c>
    </row>
    <row r="26" ht="14" customHeight="1">
      <c r="B26" s="19" t="inlineStr">
        <is>
          <t>Gross Margin  FY2026</t>
        </is>
      </c>
      <c r="D26" s="25">
        <f>_xlfn.XLOOKUP("Gross Margin",tbl_mgmt_variance[metric_label],tbl_mgmt_variance[budget_amount])/10000</f>
        <v/>
      </c>
      <c r="E26" s="25">
        <f>_xlfn.XLOOKUP("Gross Margin",tbl_mgmt_variance[metric_label],tbl_mgmt_variance[base_amount])/10000</f>
        <v/>
      </c>
      <c r="F26" s="26">
        <f>(E26-D26)*10000</f>
        <v/>
      </c>
      <c r="G26" s="27" t="inlineStr">
        <is>
          <t>n/m</t>
        </is>
      </c>
      <c r="H26" s="24">
        <f>_xlfn.XLOOKUP("Gross Margin",tbl_mgmt_variance[metric_label],tbl_mgmt_variance[favorable_unfavorable])</f>
        <v/>
      </c>
    </row>
    <row r="27" ht="14" customHeight="1">
      <c r="B27" s="19" t="inlineStr">
        <is>
          <t>Total OpEx  FY2026</t>
        </is>
      </c>
      <c r="D27" s="20">
        <f>_xlfn.XLOOKUP("Total OpEx",tbl_mgmt_variance[metric_label],tbl_mgmt_variance[budget_amount])</f>
        <v/>
      </c>
      <c r="E27" s="21">
        <f>_xlfn.XLOOKUP("Total OpEx",tbl_mgmt_variance[metric_label],tbl_mgmt_variance[base_amount])</f>
        <v/>
      </c>
      <c r="F27" s="22">
        <f>E27-D27</f>
        <v/>
      </c>
      <c r="G27" s="23">
        <f>IF(D27=0,"",E27/D27-1)</f>
        <v/>
      </c>
      <c r="H27" s="24">
        <f>_xlfn.XLOOKUP("Total OpEx",tbl_mgmt_variance[metric_label],tbl_mgmt_variance[favorable_unfavorable])</f>
        <v/>
      </c>
    </row>
    <row r="28" ht="14" customHeight="1">
      <c r="B28" s="19" t="inlineStr">
        <is>
          <t>Operating Income / (Loss)  FY2026</t>
        </is>
      </c>
      <c r="D28" s="20">
        <f>_xlfn.XLOOKUP("Operating Income / (Loss)",tbl_mgmt_variance[metric_label],tbl_mgmt_variance[budget_amount])</f>
        <v/>
      </c>
      <c r="E28" s="21">
        <f>_xlfn.XLOOKUP("Operating Income / (Loss)",tbl_mgmt_variance[metric_label],tbl_mgmt_variance[base_amount])</f>
        <v/>
      </c>
      <c r="F28" s="22">
        <f>E28-D28</f>
        <v/>
      </c>
      <c r="G28" s="23">
        <f>IF(D28=0,"",E28/D28-1)</f>
        <v/>
      </c>
      <c r="H28" s="24">
        <f>_xlfn.XLOOKUP("Operating Income / (Loss)",tbl_mgmt_variance[metric_label],tbl_mgmt_variance[favorable_unfavorable])</f>
        <v/>
      </c>
    </row>
    <row r="29" ht="14" customHeight="1">
      <c r="B29" s="19" t="inlineStr">
        <is>
          <t>Ending Headcount  Dec-2026</t>
        </is>
      </c>
      <c r="D29" s="28">
        <f>_xlfn.XLOOKUP("Ending Headcount",tbl_mgmt_variance[metric_label],tbl_mgmt_variance[budget_amount])</f>
        <v/>
      </c>
      <c r="E29" s="29">
        <f>_xlfn.XLOOKUP("Ending Headcount",tbl_mgmt_variance[metric_label],tbl_mgmt_variance[base_amount])</f>
        <v/>
      </c>
      <c r="F29" s="30">
        <f>E29-D29</f>
        <v/>
      </c>
      <c r="G29" s="23">
        <f>IF(D29=0,"",E29/D29-1)</f>
        <v/>
      </c>
      <c r="H29" s="24">
        <f>_xlfn.XLOOKUP("Ending Headcount",tbl_mgmt_variance[metric_label],tbl_mgmt_variance[favorable_unfavorable])</f>
        <v/>
      </c>
    </row>
    <row r="30" ht="6.5" customHeight="1">
      <c r="B30" s="31" t="n"/>
      <c r="C30" s="31" t="n"/>
      <c r="D30" s="31" t="n"/>
      <c r="E30" s="31" t="n"/>
      <c r="F30" s="31" t="n"/>
      <c r="G30" s="31" t="n"/>
      <c r="H30" s="31" t="n"/>
    </row>
    <row r="31" ht="12.5" customHeight="1">
      <c r="B31" s="3" t="inlineStr">
        <is>
          <t>Source: fct_management_variance (Phase 7). Favourable / unfavourable is the mart's own centralised polarity value, not re-derived here.</t>
        </is>
      </c>
    </row>
    <row r="32" ht="6.5" customHeight="1"/>
    <row r="33" ht="17" customHeight="1">
      <c r="B33" s="5" t="inlineStr">
        <is>
          <t>Management decision panel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 ht="12.5" customHeight="1">
      <c r="B34" s="16" t="inlineStr">
        <is>
          <t>Every value and every read below is a formula over an approved mart. No conclusion is typed into this workbook.</t>
        </is>
      </c>
    </row>
    <row r="35" ht="6.5" customHeight="1"/>
    <row r="36" ht="25" customHeight="1">
      <c r="B36" s="17" t="inlineStr">
        <is>
          <t>Decision question</t>
        </is>
      </c>
      <c r="C36" s="18" t="inlineStr"/>
      <c r="D36" s="18" t="inlineStr">
        <is>
          <t>Evidence</t>
        </is>
      </c>
      <c r="E36" s="18" t="inlineStr"/>
      <c r="F36" s="18" t="inlineStr"/>
      <c r="G36" s="18" t="inlineStr">
        <is>
          <t>Value</t>
        </is>
      </c>
      <c r="H36" s="18" t="inlineStr">
        <is>
          <t>Read</t>
        </is>
      </c>
    </row>
    <row r="37" ht="14" customHeight="1">
      <c r="B37" s="19" t="inlineStr">
        <is>
          <t>What binds New Logo ARR in H2 2026?</t>
        </is>
      </c>
      <c r="D37" s="32" t="inlineStr">
        <is>
          <t>H2 segment-months in which pipeline binds, of 18</t>
        </is>
      </c>
      <c r="G37" s="33">
        <f>_xlfn.XLOOKUP("Total",tbl_gtm_constraint[segment],tbl_gtm_constraint[h2_pipeline_bound_months])</f>
        <v/>
      </c>
      <c r="H37" s="34">
        <f>_xlfn.XLOOKUP("Total",tbl_gtm_constraint[segment],tbl_gtm_constraint[primary_binding_constraint])</f>
        <v/>
      </c>
    </row>
    <row r="38" ht="14" customHeight="1">
      <c r="B38" s="19" t="inlineStr">
        <is>
          <t>Targeted incremental sales hires</t>
        </is>
      </c>
      <c r="D38" s="32" t="inlineStr">
        <is>
          <t>Cumulative incremental hires at Dec-2027</t>
        </is>
      </c>
      <c r="G38" s="29">
        <f>_xlfn.XLOOKUP("Targeted / Runway-Constrained Hiring",tbl_hiring[case_label],tbl_hiring[cumulative_hires])</f>
        <v/>
      </c>
      <c r="H38" s="34">
        <f>IF(_xlfn.XLOOKUP("Targeted / Runway-Constrained Hiring",tbl_hiring[case_label],tbl_hiring[cumulative_hires])=0,"No incremental hiring computed","Incremental hiring computed")</f>
        <v/>
      </c>
    </row>
    <row r="39" ht="14" customHeight="1">
      <c r="B39" s="19" t="inlineStr">
        <is>
          <t>Full Capacity-Close: affordable?</t>
        </is>
      </c>
      <c r="D39" s="32" t="inlineStr">
        <is>
          <t>Board-policy runway headroom vs the 24-month floor</t>
        </is>
      </c>
      <c r="G39" s="35">
        <f>_xlfn.XLOOKUP("Full Capacity-Close Hiring",tbl_hiring[case_label],tbl_hiring[headroom_months])</f>
        <v/>
      </c>
      <c r="H39" s="34">
        <f>IF(_xlfn.XLOOKUP("Full Capacity-Close Hiring",tbl_hiring[case_label],tbl_hiring[headroom_months])&gt;=0,"Clears the Board floor","Breaches the Board floor")</f>
        <v/>
      </c>
    </row>
    <row r="40" ht="14" customHeight="1">
      <c r="B40" s="19" t="inlineStr">
        <is>
          <t>Full Capacity-Close: attractive?</t>
        </is>
      </c>
      <c r="D40" s="32" t="inlineStr">
        <is>
          <t>Incremental Dec-2027 ARR per $1 of incremental cash</t>
        </is>
      </c>
      <c r="G40" s="36">
        <f>IFERROR(_xlfn.XLOOKUP("Full Capacity-Close Hiring",tbl_hiring[case_label],tbl_hiring[dec_2027_incremental_arr])/-_xlfn.XLOOKUP("Full Capacity-Close Hiring",tbl_hiring[case_label],tbl_hiring[dec_2027_incremental_cash]),"")</f>
        <v/>
      </c>
      <c r="H40" s="34">
        <f>IF(_xlfn.XLOOKUP("Full Capacity-Close Hiring",tbl_hiring[case_label],tbl_hiring[dec_2027_incremental_operating_income])&lt;0,"Incremental operating income still negative at Dec-2027","Incremental operating income positive at Dec-2027")</f>
        <v/>
      </c>
    </row>
    <row r="41" ht="14" customHeight="1">
      <c r="B41" s="19" t="inlineStr">
        <is>
          <t>Base runway vs the Board floor</t>
        </is>
      </c>
      <c r="D41" s="32" t="inlineStr">
        <is>
          <t>Board-policy runway headroom, Base</t>
        </is>
      </c>
      <c r="G41" s="35">
        <f>_xlfn.XLOOKUP("Base",tbl_runway_policy[path],tbl_runway_policy[headroom_months])</f>
        <v/>
      </c>
      <c r="H41" s="34">
        <f>IF(_xlfn.XLOOKUP("Base",tbl_runway_policy[path],tbl_runway_policy[headroom_months])&gt;=0,"Clears the Board floor","Breaches the Board floor")</f>
        <v/>
      </c>
    </row>
    <row r="42" ht="14" customHeight="1">
      <c r="B42" s="19" t="inlineStr">
        <is>
          <t>Bear runway vs the Board floor</t>
        </is>
      </c>
      <c r="D42" s="32" t="inlineStr">
        <is>
          <t>Board-policy runway headroom, Bear</t>
        </is>
      </c>
      <c r="G42" s="35">
        <f>_xlfn.XLOOKUP("Bear",tbl_runway_policy[path],tbl_runway_policy[headroom_months])</f>
        <v/>
      </c>
      <c r="H42" s="34">
        <f>IF(_xlfn.XLOOKUP("Bear",tbl_runway_policy[path],tbl_runway_policy[headroom_months])&gt;=0,"Clears the Board floor","Breaches the Board floor")</f>
        <v/>
      </c>
    </row>
    <row r="43" ht="6.5" customHeight="1"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</row>
    <row r="44" ht="12.5" customHeight="1">
      <c r="B44" s="3" t="inlineStr">
        <is>
          <t>Source: fct_new_logo_diagnosis, fct_hiring_scenario, fct_cash_runway_policy (Phases 6-7).</t>
        </is>
      </c>
    </row>
    <row r="45" ht="6.5" customHeight="1"/>
    <row r="46" ht="17" customHeight="1">
      <c r="B46" s="5" t="inlineStr">
        <is>
          <t>Management commentary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 ht="12.5" customHeight="1">
      <c r="B47" s="16" t="inlineStr">
        <is>
          <t>The top 5 items from Phase 7's deterministic commentary engine, in its own priority-then-materiality order. Rules-based SQL templates -- no language model was used anywhere in this pipeline.</t>
        </is>
      </c>
    </row>
    <row r="48" ht="6.5" customHeight="1"/>
    <row r="49" ht="25" customHeight="1">
      <c r="B49" s="17" t="inlineStr">
        <is>
          <t>Priority</t>
        </is>
      </c>
      <c r="C49" s="37" t="inlineStr">
        <is>
          <t>Section</t>
        </is>
      </c>
      <c r="D49" s="37" t="inlineStr">
        <is>
          <t>Headline</t>
        </is>
      </c>
    </row>
    <row r="50" ht="14" customHeight="1">
      <c r="B50" s="34">
        <f>_xlfn.XLOOKUP(1,tbl_commentary[exec_rank],tbl_commentary[priority])</f>
        <v/>
      </c>
      <c r="C50" s="32">
        <f>_xlfn.XLOOKUP(1,tbl_commentary[exec_rank],tbl_commentary[section])</f>
        <v/>
      </c>
      <c r="D50" s="19">
        <f>_xlfn.XLOOKUP(1,tbl_commentary[exec_rank],tbl_commentary[headline])</f>
        <v/>
      </c>
    </row>
    <row r="51" ht="14" customHeight="1">
      <c r="B51" s="34">
        <f>_xlfn.XLOOKUP(2,tbl_commentary[exec_rank],tbl_commentary[priority])</f>
        <v/>
      </c>
      <c r="C51" s="32">
        <f>_xlfn.XLOOKUP(2,tbl_commentary[exec_rank],tbl_commentary[section])</f>
        <v/>
      </c>
      <c r="D51" s="19">
        <f>_xlfn.XLOOKUP(2,tbl_commentary[exec_rank],tbl_commentary[headline])</f>
        <v/>
      </c>
    </row>
    <row r="52" ht="14" customHeight="1">
      <c r="B52" s="34">
        <f>_xlfn.XLOOKUP(3,tbl_commentary[exec_rank],tbl_commentary[priority])</f>
        <v/>
      </c>
      <c r="C52" s="32">
        <f>_xlfn.XLOOKUP(3,tbl_commentary[exec_rank],tbl_commentary[section])</f>
        <v/>
      </c>
      <c r="D52" s="19">
        <f>_xlfn.XLOOKUP(3,tbl_commentary[exec_rank],tbl_commentary[headline])</f>
        <v/>
      </c>
    </row>
    <row r="53" ht="14" customHeight="1">
      <c r="B53" s="34">
        <f>_xlfn.XLOOKUP(4,tbl_commentary[exec_rank],tbl_commentary[priority])</f>
        <v/>
      </c>
      <c r="C53" s="32">
        <f>_xlfn.XLOOKUP(4,tbl_commentary[exec_rank],tbl_commentary[section])</f>
        <v/>
      </c>
      <c r="D53" s="19">
        <f>_xlfn.XLOOKUP(4,tbl_commentary[exec_rank],tbl_commentary[headline])</f>
        <v/>
      </c>
    </row>
    <row r="54" ht="14" customHeight="1">
      <c r="B54" s="34">
        <f>_xlfn.XLOOKUP(5,tbl_commentary[exec_rank],tbl_commentary[priority])</f>
        <v/>
      </c>
      <c r="C54" s="32">
        <f>_xlfn.XLOOKUP(5,tbl_commentary[exec_rank],tbl_commentary[section])</f>
        <v/>
      </c>
      <c r="D54" s="19">
        <f>_xlfn.XLOOKUP(5,tbl_commentary[exec_rank],tbl_commentary[headline])</f>
        <v/>
      </c>
    </row>
    <row r="55" ht="6.5" customHeight="1"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</row>
    <row r="56" ht="12.5" customHeight="1">
      <c r="B56" s="3" t="inlineStr">
        <is>
          <t>Source: fct_commentary_output (Phase 7).</t>
        </is>
      </c>
    </row>
    <row r="57" ht="6.5" customHeight="1"/>
  </sheetData>
  <conditionalFormatting sqref="F22:G29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H22:H29">
    <cfRule type="cellIs" priority="3" operator="equal" dxfId="2">
      <formula>"Favorable"</formula>
    </cfRule>
    <cfRule type="cellIs" priority="4" operator="equal" dxfId="3">
      <formula>"Unfavorable"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80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4" customHeight="1"/>
  <cols>
    <col width="1.8" customWidth="1" min="1" max="1"/>
    <col width="11" customWidth="1" min="2" max="2"/>
    <col width="15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2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 -- ARR &amp; Retention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7" customHeight="1">
      <c r="B7" s="5" t="inlineStr">
        <is>
          <t>Monthly ARR waterfall -- actual through Jun-2026, Base reforecast after</t>
        </is>
      </c>
      <c r="C7" s="6" t="n"/>
      <c r="D7" s="6" t="n"/>
      <c r="E7" s="6" t="n"/>
      <c r="F7" s="6" t="n"/>
      <c r="G7" s="6" t="n"/>
      <c r="H7" s="6" t="n"/>
      <c r="I7" s="6" t="n"/>
      <c r="J7" s="6" t="n"/>
    </row>
    <row r="8" ht="12.5" customHeight="1">
      <c r="B8" s="16" t="inlineStr">
        <is>
          <t>Actual months are shaded blue; Base reforecast months amber. Contraction and churn are stored signed negative, so ending ARR is a plain sum of the seven columns.</t>
        </is>
      </c>
    </row>
    <row r="9" ht="6.5" customHeight="1"/>
    <row r="10" ht="14" customHeight="1">
      <c r="B10" s="17" t="inlineStr">
        <is>
          <t>Month</t>
        </is>
      </c>
      <c r="C10" s="17" t="inlineStr">
        <is>
          <t>Period</t>
        </is>
      </c>
      <c r="D10" s="18" t="inlineStr">
        <is>
          <t>Beginning ARR</t>
        </is>
      </c>
      <c r="E10" s="18" t="inlineStr">
        <is>
          <t>New Logo</t>
        </is>
      </c>
      <c r="F10" s="18" t="inlineStr">
        <is>
          <t>Expansion</t>
        </is>
      </c>
      <c r="G10" s="18" t="inlineStr">
        <is>
          <t>Reactivation</t>
        </is>
      </c>
      <c r="H10" s="18" t="inlineStr">
        <is>
          <t>Contraction</t>
        </is>
      </c>
      <c r="I10" s="18" t="inlineStr">
        <is>
          <t>Churn</t>
        </is>
      </c>
      <c r="J10" s="18" t="inlineStr">
        <is>
          <t>Ending ARR</t>
        </is>
      </c>
    </row>
    <row r="11" ht="14" customHeight="1">
      <c r="B11" s="38" t="inlineStr">
        <is>
          <t>Jan-25</t>
        </is>
      </c>
      <c r="C11" s="38" t="inlineStr">
        <is>
          <t>Actual</t>
        </is>
      </c>
      <c r="D11" s="39" t="n">
        <v>24495197.4</v>
      </c>
      <c r="E11" s="40" t="n">
        <v>763989.24</v>
      </c>
      <c r="F11" s="40" t="n">
        <v>208523.88</v>
      </c>
      <c r="G11" s="40" t="n">
        <v>5379</v>
      </c>
      <c r="H11" s="40" t="n">
        <v>-356906.4</v>
      </c>
      <c r="I11" s="40" t="n">
        <v>-433404.48</v>
      </c>
      <c r="J11" s="39" t="n">
        <v>24682778.64</v>
      </c>
    </row>
    <row r="12" ht="14" customHeight="1">
      <c r="B12" s="38" t="inlineStr">
        <is>
          <t>Feb-25</t>
        </is>
      </c>
      <c r="C12" s="38" t="inlineStr">
        <is>
          <t>Actual</t>
        </is>
      </c>
      <c r="D12" s="39" t="n">
        <v>24682778.64</v>
      </c>
      <c r="E12" s="40" t="n">
        <v>398202.84</v>
      </c>
      <c r="F12" s="40" t="n">
        <v>450903.12</v>
      </c>
      <c r="G12" s="40" t="n">
        <v>0</v>
      </c>
      <c r="H12" s="40" t="n">
        <v>-110046.24</v>
      </c>
      <c r="I12" s="40" t="n">
        <v>-189502.92</v>
      </c>
      <c r="J12" s="39" t="n">
        <v>25232335.44</v>
      </c>
    </row>
    <row r="13" ht="14" customHeight="1">
      <c r="B13" s="38" t="inlineStr">
        <is>
          <t>Mar-25</t>
        </is>
      </c>
      <c r="C13" s="38" t="inlineStr">
        <is>
          <t>Actual</t>
        </is>
      </c>
      <c r="D13" s="39" t="n">
        <v>25232335.44</v>
      </c>
      <c r="E13" s="40" t="n">
        <v>482289.0000000001</v>
      </c>
      <c r="F13" s="40" t="n">
        <v>339030.96</v>
      </c>
      <c r="G13" s="40" t="n">
        <v>7012.2</v>
      </c>
      <c r="H13" s="40" t="n">
        <v>-120597.12</v>
      </c>
      <c r="I13" s="40" t="n">
        <v>-125741.04</v>
      </c>
      <c r="J13" s="39" t="n">
        <v>25814329.44</v>
      </c>
    </row>
    <row r="14" ht="14" customHeight="1">
      <c r="B14" s="38" t="inlineStr">
        <is>
          <t>Apr-25</t>
        </is>
      </c>
      <c r="C14" s="38" t="inlineStr">
        <is>
          <t>Actual</t>
        </is>
      </c>
      <c r="D14" s="39" t="n">
        <v>25814329.44</v>
      </c>
      <c r="E14" s="40" t="n">
        <v>289522.08</v>
      </c>
      <c r="F14" s="40" t="n">
        <v>568274.88</v>
      </c>
      <c r="G14" s="40" t="n">
        <v>41077.32</v>
      </c>
      <c r="H14" s="40" t="n">
        <v>-140806.8</v>
      </c>
      <c r="I14" s="40" t="n">
        <v>-142746.84</v>
      </c>
      <c r="J14" s="39" t="n">
        <v>26429650.08</v>
      </c>
    </row>
    <row r="15" ht="14" customHeight="1">
      <c r="B15" s="38" t="inlineStr">
        <is>
          <t>May-25</t>
        </is>
      </c>
      <c r="C15" s="38" t="inlineStr">
        <is>
          <t>Actual</t>
        </is>
      </c>
      <c r="D15" s="39" t="n">
        <v>26429650.08</v>
      </c>
      <c r="E15" s="40" t="n">
        <v>266066.16</v>
      </c>
      <c r="F15" s="40" t="n">
        <v>214662.36</v>
      </c>
      <c r="G15" s="40" t="n">
        <v>12462.48</v>
      </c>
      <c r="H15" s="40" t="n">
        <v>-91199.88</v>
      </c>
      <c r="I15" s="40" t="n">
        <v>-240511.2</v>
      </c>
      <c r="J15" s="39" t="n">
        <v>26591130</v>
      </c>
    </row>
    <row r="16" ht="14" customHeight="1">
      <c r="B16" s="38" t="inlineStr">
        <is>
          <t>Jun-25</t>
        </is>
      </c>
      <c r="C16" s="38" t="inlineStr">
        <is>
          <t>Actual</t>
        </is>
      </c>
      <c r="D16" s="39" t="n">
        <v>26591130</v>
      </c>
      <c r="E16" s="40" t="n">
        <v>408324</v>
      </c>
      <c r="F16" s="40" t="n">
        <v>332059.5600000001</v>
      </c>
      <c r="G16" s="40" t="n">
        <v>0</v>
      </c>
      <c r="H16" s="40" t="n">
        <v>-45796.2</v>
      </c>
      <c r="I16" s="40" t="n">
        <v>-147946.44</v>
      </c>
      <c r="J16" s="39" t="n">
        <v>27137770.92</v>
      </c>
    </row>
    <row r="17" ht="14" customHeight="1">
      <c r="B17" s="38" t="inlineStr">
        <is>
          <t>Jul-25</t>
        </is>
      </c>
      <c r="C17" s="38" t="inlineStr">
        <is>
          <t>Actual</t>
        </is>
      </c>
      <c r="D17" s="39" t="n">
        <v>27137770.92</v>
      </c>
      <c r="E17" s="40" t="n">
        <v>148504.68</v>
      </c>
      <c r="F17" s="40" t="n">
        <v>364045.92</v>
      </c>
      <c r="G17" s="40" t="n">
        <v>2735.28</v>
      </c>
      <c r="H17" s="40" t="n">
        <v>-97174.92</v>
      </c>
      <c r="I17" s="40" t="n">
        <v>-88185</v>
      </c>
      <c r="J17" s="39" t="n">
        <v>27467696.88</v>
      </c>
    </row>
    <row r="18" ht="14" customHeight="1">
      <c r="B18" s="38" t="inlineStr">
        <is>
          <t>Aug-25</t>
        </is>
      </c>
      <c r="C18" s="38" t="inlineStr">
        <is>
          <t>Actual</t>
        </is>
      </c>
      <c r="D18" s="39" t="n">
        <v>27467696.88</v>
      </c>
      <c r="E18" s="40" t="n">
        <v>254568</v>
      </c>
      <c r="F18" s="40" t="n">
        <v>339460.6799999999</v>
      </c>
      <c r="G18" s="40" t="n">
        <v>2107.44</v>
      </c>
      <c r="H18" s="40" t="n">
        <v>-73086.12</v>
      </c>
      <c r="I18" s="40" t="n">
        <v>-197466.12</v>
      </c>
      <c r="J18" s="39" t="n">
        <v>27793280.76</v>
      </c>
    </row>
    <row r="19" ht="14" customHeight="1">
      <c r="B19" s="38" t="inlineStr">
        <is>
          <t>Sep-25</t>
        </is>
      </c>
      <c r="C19" s="38" t="inlineStr">
        <is>
          <t>Actual</t>
        </is>
      </c>
      <c r="D19" s="39" t="n">
        <v>27793280.76</v>
      </c>
      <c r="E19" s="40" t="n">
        <v>265998.84</v>
      </c>
      <c r="F19" s="40" t="n">
        <v>295512.48</v>
      </c>
      <c r="G19" s="40" t="n">
        <v>0</v>
      </c>
      <c r="H19" s="40" t="n">
        <v>-46792.8</v>
      </c>
      <c r="I19" s="40" t="n">
        <v>-189627.96</v>
      </c>
      <c r="J19" s="39" t="n">
        <v>28118371.32</v>
      </c>
    </row>
    <row r="20" ht="14" customHeight="1">
      <c r="B20" s="38" t="inlineStr">
        <is>
          <t>Oct-25</t>
        </is>
      </c>
      <c r="C20" s="38" t="inlineStr">
        <is>
          <t>Actual</t>
        </is>
      </c>
      <c r="D20" s="39" t="n">
        <v>28118371.32</v>
      </c>
      <c r="E20" s="40" t="n">
        <v>427038.12</v>
      </c>
      <c r="F20" s="40" t="n">
        <v>493697.64</v>
      </c>
      <c r="G20" s="40" t="n">
        <v>0</v>
      </c>
      <c r="H20" s="40" t="n">
        <v>-124445.04</v>
      </c>
      <c r="I20" s="40" t="n">
        <v>-162396</v>
      </c>
      <c r="J20" s="39" t="n">
        <v>28752266.04</v>
      </c>
    </row>
    <row r="21" ht="14" customHeight="1">
      <c r="B21" s="38" t="inlineStr">
        <is>
          <t>Nov-25</t>
        </is>
      </c>
      <c r="C21" s="38" t="inlineStr">
        <is>
          <t>Actual</t>
        </is>
      </c>
      <c r="D21" s="39" t="n">
        <v>28752266.04</v>
      </c>
      <c r="E21" s="40" t="n">
        <v>771199.2</v>
      </c>
      <c r="F21" s="40" t="n">
        <v>366765</v>
      </c>
      <c r="G21" s="40" t="n">
        <v>0</v>
      </c>
      <c r="H21" s="40" t="n">
        <v>-173070.72</v>
      </c>
      <c r="I21" s="40" t="n">
        <v>-328723.8</v>
      </c>
      <c r="J21" s="39" t="n">
        <v>29388435.72</v>
      </c>
    </row>
    <row r="22" ht="14" customHeight="1">
      <c r="B22" s="38" t="inlineStr">
        <is>
          <t>Dec-25</t>
        </is>
      </c>
      <c r="C22" s="38" t="inlineStr">
        <is>
          <t>Actual</t>
        </is>
      </c>
      <c r="D22" s="39" t="n">
        <v>29388435.72</v>
      </c>
      <c r="E22" s="40" t="n">
        <v>815749.3200000001</v>
      </c>
      <c r="F22" s="40" t="n">
        <v>245648.28</v>
      </c>
      <c r="G22" s="40" t="n">
        <v>37735.8</v>
      </c>
      <c r="H22" s="40" t="n">
        <v>-77452.2</v>
      </c>
      <c r="I22" s="40" t="n">
        <v>-220801.08</v>
      </c>
      <c r="J22" s="39" t="n">
        <v>30189315.84</v>
      </c>
    </row>
    <row r="23" ht="14" customHeight="1">
      <c r="B23" s="38" t="inlineStr">
        <is>
          <t>Jan-26</t>
        </is>
      </c>
      <c r="C23" s="38" t="inlineStr">
        <is>
          <t>Actual</t>
        </is>
      </c>
      <c r="D23" s="39" t="n">
        <v>30189315.84</v>
      </c>
      <c r="E23" s="40" t="n">
        <v>267424.44</v>
      </c>
      <c r="F23" s="40" t="n">
        <v>361621.2000000001</v>
      </c>
      <c r="G23" s="40" t="n">
        <v>3132</v>
      </c>
      <c r="H23" s="40" t="n">
        <v>-451736.88</v>
      </c>
      <c r="I23" s="40" t="n">
        <v>-188907.24</v>
      </c>
      <c r="J23" s="39" t="n">
        <v>30180849.36</v>
      </c>
    </row>
    <row r="24" ht="14" customHeight="1">
      <c r="B24" s="38" t="inlineStr">
        <is>
          <t>Feb-26</t>
        </is>
      </c>
      <c r="C24" s="38" t="inlineStr">
        <is>
          <t>Actual</t>
        </is>
      </c>
      <c r="D24" s="39" t="n">
        <v>30180849.36</v>
      </c>
      <c r="E24" s="40" t="n">
        <v>347874.72</v>
      </c>
      <c r="F24" s="40" t="n">
        <v>303632.88</v>
      </c>
      <c r="G24" s="40" t="n">
        <v>10064.52</v>
      </c>
      <c r="H24" s="40" t="n">
        <v>-150335.16</v>
      </c>
      <c r="I24" s="40" t="n">
        <v>-113861.4</v>
      </c>
      <c r="J24" s="39" t="n">
        <v>30578224.92</v>
      </c>
    </row>
    <row r="25" ht="14" customHeight="1">
      <c r="B25" s="38" t="inlineStr">
        <is>
          <t>Mar-26</t>
        </is>
      </c>
      <c r="C25" s="38" t="inlineStr">
        <is>
          <t>Actual</t>
        </is>
      </c>
      <c r="D25" s="39" t="n">
        <v>30578224.92</v>
      </c>
      <c r="E25" s="40" t="n">
        <v>452642.28</v>
      </c>
      <c r="F25" s="40" t="n">
        <v>237688.44</v>
      </c>
      <c r="G25" s="40" t="n">
        <v>7982.76</v>
      </c>
      <c r="H25" s="40" t="n">
        <v>-205926.12</v>
      </c>
      <c r="I25" s="40" t="n">
        <v>-233182.92</v>
      </c>
      <c r="J25" s="39" t="n">
        <v>30837429.36</v>
      </c>
    </row>
    <row r="26" ht="14" customHeight="1">
      <c r="B26" s="38" t="inlineStr">
        <is>
          <t>Apr-26</t>
        </is>
      </c>
      <c r="C26" s="38" t="inlineStr">
        <is>
          <t>Actual</t>
        </is>
      </c>
      <c r="D26" s="39" t="n">
        <v>30837429.36</v>
      </c>
      <c r="E26" s="40" t="n">
        <v>134448.48</v>
      </c>
      <c r="F26" s="40" t="n">
        <v>820157.04</v>
      </c>
      <c r="G26" s="40" t="n">
        <v>3643.2</v>
      </c>
      <c r="H26" s="40" t="n">
        <v>-61498.8</v>
      </c>
      <c r="I26" s="40" t="n">
        <v>-286825.44</v>
      </c>
      <c r="J26" s="39" t="n">
        <v>31447353.84</v>
      </c>
    </row>
    <row r="27" ht="14" customHeight="1">
      <c r="B27" s="38" t="inlineStr">
        <is>
          <t>May-26</t>
        </is>
      </c>
      <c r="C27" s="38" t="inlineStr">
        <is>
          <t>Actual</t>
        </is>
      </c>
      <c r="D27" s="39" t="n">
        <v>31447353.84</v>
      </c>
      <c r="E27" s="40" t="n">
        <v>170863.2</v>
      </c>
      <c r="F27" s="40" t="n">
        <v>1119731.4</v>
      </c>
      <c r="G27" s="40" t="n">
        <v>14374.56</v>
      </c>
      <c r="H27" s="40" t="n">
        <v>-139362.12</v>
      </c>
      <c r="I27" s="40" t="n">
        <v>-119750.52</v>
      </c>
      <c r="J27" s="39" t="n">
        <v>32493210.36</v>
      </c>
    </row>
    <row r="28" ht="14" customHeight="1">
      <c r="B28" s="38" t="inlineStr">
        <is>
          <t>Jun-26</t>
        </is>
      </c>
      <c r="C28" s="38" t="inlineStr">
        <is>
          <t>Actual</t>
        </is>
      </c>
      <c r="D28" s="39" t="n">
        <v>32493210.36</v>
      </c>
      <c r="E28" s="40" t="n">
        <v>650292.36</v>
      </c>
      <c r="F28" s="40" t="n">
        <v>510603.96</v>
      </c>
      <c r="G28" s="40" t="n">
        <v>20643.24</v>
      </c>
      <c r="H28" s="40" t="n">
        <v>-95907.84</v>
      </c>
      <c r="I28" s="40" t="n">
        <v>-562121.76</v>
      </c>
      <c r="J28" s="39" t="n">
        <v>33016720.32</v>
      </c>
    </row>
    <row r="29" ht="14" customHeight="1">
      <c r="B29" s="41" t="inlineStr">
        <is>
          <t>Jul-26</t>
        </is>
      </c>
      <c r="C29" s="41" t="inlineStr">
        <is>
          <t>Base Reforecast</t>
        </is>
      </c>
      <c r="D29" s="42" t="n">
        <v>33016720.32</v>
      </c>
      <c r="E29" s="43" t="n">
        <v>379723.8431657766</v>
      </c>
      <c r="F29" s="43" t="n">
        <v>514111.2721585745</v>
      </c>
      <c r="G29" s="43" t="n">
        <v>8534.9</v>
      </c>
      <c r="H29" s="43" t="n">
        <v>-86848.2886515485</v>
      </c>
      <c r="I29" s="43" t="n">
        <v>-160575.3263550167</v>
      </c>
      <c r="J29" s="42" t="n">
        <v>33671666.72031779</v>
      </c>
    </row>
    <row r="30" ht="12.5" customHeight="1">
      <c r="B30" s="41" t="inlineStr">
        <is>
          <t>Aug-26</t>
        </is>
      </c>
      <c r="C30" s="41" t="inlineStr">
        <is>
          <t>Base Reforecast</t>
        </is>
      </c>
      <c r="D30" s="42" t="n">
        <v>33671666.72031778</v>
      </c>
      <c r="E30" s="43" t="n">
        <v>78926.91212814295</v>
      </c>
      <c r="F30" s="43" t="n">
        <v>514111.2721585745</v>
      </c>
      <c r="G30" s="43" t="n">
        <v>8534.9</v>
      </c>
      <c r="H30" s="43" t="n">
        <v>-99397.34960386796</v>
      </c>
      <c r="I30" s="43" t="n">
        <v>-188223.0459561141</v>
      </c>
      <c r="J30" s="42" t="n">
        <v>33985619.40904452</v>
      </c>
      <c r="L30" s="16" t="inlineStr">
        <is>
          <t>Bars are the five movement components. Jan-25 to Jun-26 is actual; Jul-26 onward is the Base reforecast, where New Logo drops to what the pipeline supports.</t>
        </is>
      </c>
    </row>
    <row r="31" ht="14" customHeight="1">
      <c r="B31" s="41" t="inlineStr">
        <is>
          <t>Sep-26</t>
        </is>
      </c>
      <c r="C31" s="41" t="inlineStr">
        <is>
          <t>Base Reforecast</t>
        </is>
      </c>
      <c r="D31" s="42" t="n">
        <v>33985619.40904452</v>
      </c>
      <c r="E31" s="43" t="n">
        <v>10415.98618357488</v>
      </c>
      <c r="F31" s="43" t="n">
        <v>514111.2721585745</v>
      </c>
      <c r="G31" s="43" t="n">
        <v>8534.9</v>
      </c>
      <c r="H31" s="43" t="n">
        <v>-102725.1590022825</v>
      </c>
      <c r="I31" s="43" t="n">
        <v>-188558.2199998436</v>
      </c>
      <c r="J31" s="42" t="n">
        <v>34227398.18838455</v>
      </c>
    </row>
    <row r="32" ht="14" customHeight="1">
      <c r="B32" s="41" t="inlineStr">
        <is>
          <t>Oct-26</t>
        </is>
      </c>
      <c r="C32" s="41" t="inlineStr">
        <is>
          <t>Base Reforecast</t>
        </is>
      </c>
      <c r="D32" s="42" t="n">
        <v>34227398.18838455</v>
      </c>
      <c r="E32" s="43" t="n">
        <v>11305.86657004831</v>
      </c>
      <c r="F32" s="43" t="n">
        <v>514111.2721585745</v>
      </c>
      <c r="G32" s="43" t="n">
        <v>8534.9</v>
      </c>
      <c r="H32" s="43" t="n">
        <v>-140395.9414876271</v>
      </c>
      <c r="I32" s="43" t="n">
        <v>-232938.5155039047</v>
      </c>
      <c r="J32" s="42" t="n">
        <v>34388015.77012163</v>
      </c>
    </row>
    <row r="33" ht="14" customHeight="1">
      <c r="B33" s="41" t="inlineStr">
        <is>
          <t>Nov-26</t>
        </is>
      </c>
      <c r="C33" s="41" t="inlineStr">
        <is>
          <t>Base Reforecast</t>
        </is>
      </c>
      <c r="D33" s="42" t="n">
        <v>34388015.77012163</v>
      </c>
      <c r="E33" s="43" t="n">
        <v>350964.2754020019</v>
      </c>
      <c r="F33" s="43" t="n">
        <v>514111.2721585745</v>
      </c>
      <c r="G33" s="43" t="n">
        <v>8534.9</v>
      </c>
      <c r="H33" s="43" t="n">
        <v>-183611.1087706609</v>
      </c>
      <c r="I33" s="43" t="n">
        <v>-301558.8995636074</v>
      </c>
      <c r="J33" s="42" t="n">
        <v>34776456.20934794</v>
      </c>
    </row>
    <row r="34" ht="14" customHeight="1">
      <c r="B34" s="41" t="inlineStr">
        <is>
          <t>Dec-26</t>
        </is>
      </c>
      <c r="C34" s="41" t="inlineStr">
        <is>
          <t>Base Reforecast</t>
        </is>
      </c>
      <c r="D34" s="42" t="n">
        <v>34776456.20934794</v>
      </c>
      <c r="E34" s="43" t="n">
        <v>351431.1501149026</v>
      </c>
      <c r="F34" s="43" t="n">
        <v>514111.2721585745</v>
      </c>
      <c r="G34" s="43" t="n">
        <v>8534.9</v>
      </c>
      <c r="H34" s="43" t="n">
        <v>-351650.5468832045</v>
      </c>
      <c r="I34" s="43" t="n">
        <v>-482466.4199405572</v>
      </c>
      <c r="J34" s="42" t="n">
        <v>34816416.56479766</v>
      </c>
    </row>
    <row r="35" ht="14" customHeight="1">
      <c r="B35" s="44" t="inlineStr">
        <is>
          <t>Waterfall check</t>
        </is>
      </c>
      <c r="C35" s="45" t="inlineStr">
        <is>
          <t>must be zero</t>
        </is>
      </c>
      <c r="D35" s="31" t="n"/>
      <c r="E35" s="31" t="n"/>
      <c r="F35" s="31" t="n"/>
      <c r="G35" s="31" t="n"/>
      <c r="H35" s="31" t="n"/>
      <c r="I35" s="31" t="n"/>
      <c r="J35" s="46">
        <f>ROUND(SUM(D11:D34)+SUM(E11:E34)+SUM(F11:F34)+SUM(G11:G34)+SUM(H11:H34)+SUM(I11:I34)-SUM(J11:J34),2)</f>
        <v/>
      </c>
    </row>
    <row r="36" ht="14" customHeight="1"/>
    <row r="37" ht="12.5" customHeight="1">
      <c r="B37" s="3" t="inlineStr">
        <is>
          <t>Source: fct_arr_forecast, path Base, segment Total (Phase 6); actual months replicate the Phase 3 fct_arr_waterfall unchanged.</t>
        </is>
      </c>
    </row>
    <row r="38" ht="6.5" customHeight="1"/>
    <row r="39" ht="14" customHeight="1"/>
    <row r="40" ht="17" customHeight="1">
      <c r="B40" s="5" t="inlineStr">
        <is>
          <t>TTM retention at 30 June 2026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12.5" customHeight="1">
      <c r="B41" s="16" t="inlineStr">
        <is>
          <t>Trailing-twelve-month cohort: every customer with ARR above zero exactly twelve months earlier. GRR is capped per customer before aggregation, so one large expansion cannot mask another customer's contraction.</t>
        </is>
      </c>
    </row>
    <row r="42" ht="6.5" customHeight="1"/>
    <row r="43" ht="14" customHeight="1">
      <c r="B43" s="17" t="inlineStr">
        <is>
          <t>Segment</t>
        </is>
      </c>
      <c r="C43" s="18" t="inlineStr">
        <is>
          <t>Cohort customers</t>
        </is>
      </c>
      <c r="D43" s="18" t="inlineStr">
        <is>
          <t>Cohort beginning ARR</t>
        </is>
      </c>
      <c r="E43" s="18" t="inlineStr">
        <is>
          <t>NRR</t>
        </is>
      </c>
      <c r="F43" s="18" t="inlineStr">
        <is>
          <t>GRR</t>
        </is>
      </c>
      <c r="G43" s="18" t="inlineStr">
        <is>
          <t>Logo retention</t>
        </is>
      </c>
    </row>
    <row r="44" ht="14" customHeight="1">
      <c r="B44" s="34" t="inlineStr">
        <is>
          <t>Total</t>
        </is>
      </c>
      <c r="C44" s="33">
        <f>_xlfn.XLOOKUP(1,(tbl_retention[segment]="Total")*(tbl_retention[month_label]="Jun-26"),tbl_retention[cohort_customers],"")</f>
        <v/>
      </c>
      <c r="D44" s="21">
        <f>_xlfn.XLOOKUP(1,(tbl_retention[segment]="Total")*(tbl_retention[month_label]="Jun-26"),tbl_retention[cohort_beginning_arr],"")</f>
        <v/>
      </c>
      <c r="E44" s="47">
        <f>_xlfn.XLOOKUP(1,(tbl_retention[segment]="Total")*(tbl_retention[month_label]="Jun-26"),tbl_retention[nrr],"")</f>
        <v/>
      </c>
      <c r="F44" s="47">
        <f>_xlfn.XLOOKUP(1,(tbl_retention[segment]="Total")*(tbl_retention[month_label]="Jun-26"),tbl_retention[grr],"")</f>
        <v/>
      </c>
      <c r="G44" s="47">
        <f>_xlfn.XLOOKUP(1,(tbl_retention[segment]="Total")*(tbl_retention[month_label]="Jun-26"),tbl_retention[logo_retention],"")</f>
        <v/>
      </c>
    </row>
    <row r="45" ht="14" customHeight="1">
      <c r="B45" s="19" t="inlineStr">
        <is>
          <t>SMB</t>
        </is>
      </c>
      <c r="C45" s="48">
        <f>_xlfn.XLOOKUP(1,(tbl_retention[segment]="SMB")*(tbl_retention[month_label]="Jun-26"),tbl_retention[cohort_customers],"")</f>
        <v/>
      </c>
      <c r="D45" s="20">
        <f>_xlfn.XLOOKUP(1,(tbl_retention[segment]="SMB")*(tbl_retention[month_label]="Jun-26"),tbl_retention[cohort_beginning_arr],"")</f>
        <v/>
      </c>
      <c r="E45" s="25">
        <f>_xlfn.XLOOKUP(1,(tbl_retention[segment]="SMB")*(tbl_retention[month_label]="Jun-26"),tbl_retention[nrr],"")</f>
        <v/>
      </c>
      <c r="F45" s="25">
        <f>_xlfn.XLOOKUP(1,(tbl_retention[segment]="SMB")*(tbl_retention[month_label]="Jun-26"),tbl_retention[grr],"")</f>
        <v/>
      </c>
      <c r="G45" s="25">
        <f>_xlfn.XLOOKUP(1,(tbl_retention[segment]="SMB")*(tbl_retention[month_label]="Jun-26"),tbl_retention[logo_retention],"")</f>
        <v/>
      </c>
    </row>
    <row r="46" ht="14" customHeight="1">
      <c r="B46" s="19" t="inlineStr">
        <is>
          <t>Mid-Market</t>
        </is>
      </c>
      <c r="C46" s="48">
        <f>_xlfn.XLOOKUP(1,(tbl_retention[segment]="Mid-Market")*(tbl_retention[month_label]="Jun-26"),tbl_retention[cohort_customers],"")</f>
        <v/>
      </c>
      <c r="D46" s="20">
        <f>_xlfn.XLOOKUP(1,(tbl_retention[segment]="Mid-Market")*(tbl_retention[month_label]="Jun-26"),tbl_retention[cohort_beginning_arr],"")</f>
        <v/>
      </c>
      <c r="E46" s="25">
        <f>_xlfn.XLOOKUP(1,(tbl_retention[segment]="Mid-Market")*(tbl_retention[month_label]="Jun-26"),tbl_retention[nrr],"")</f>
        <v/>
      </c>
      <c r="F46" s="25">
        <f>_xlfn.XLOOKUP(1,(tbl_retention[segment]="Mid-Market")*(tbl_retention[month_label]="Jun-26"),tbl_retention[grr],"")</f>
        <v/>
      </c>
      <c r="G46" s="25">
        <f>_xlfn.XLOOKUP(1,(tbl_retention[segment]="Mid-Market")*(tbl_retention[month_label]="Jun-26"),tbl_retention[logo_retention],"")</f>
        <v/>
      </c>
    </row>
    <row r="47" ht="14" customHeight="1">
      <c r="B47" s="19" t="inlineStr">
        <is>
          <t>Enterprise</t>
        </is>
      </c>
      <c r="C47" s="48">
        <f>_xlfn.XLOOKUP(1,(tbl_retention[segment]="Enterprise")*(tbl_retention[month_label]="Jun-26"),tbl_retention[cohort_customers],"")</f>
        <v/>
      </c>
      <c r="D47" s="20">
        <f>_xlfn.XLOOKUP(1,(tbl_retention[segment]="Enterprise")*(tbl_retention[month_label]="Jun-26"),tbl_retention[cohort_beginning_arr],"")</f>
        <v/>
      </c>
      <c r="E47" s="25">
        <f>_xlfn.XLOOKUP(1,(tbl_retention[segment]="Enterprise")*(tbl_retention[month_label]="Jun-26"),tbl_retention[nrr],"")</f>
        <v/>
      </c>
      <c r="F47" s="25">
        <f>_xlfn.XLOOKUP(1,(tbl_retention[segment]="Enterprise")*(tbl_retention[month_label]="Jun-26"),tbl_retention[grr],"")</f>
        <v/>
      </c>
      <c r="G47" s="25">
        <f>_xlfn.XLOOKUP(1,(tbl_retention[segment]="Enterprise")*(tbl_retention[month_label]="Jun-26"),tbl_retention[logo_retention],"")</f>
        <v/>
      </c>
    </row>
    <row r="48" ht="14" customHeight="1"/>
    <row r="49" ht="12.5" customHeight="1">
      <c r="B49" s="3" t="inlineStr">
        <is>
          <t>Source: fct_retention_ttm (Phase 4).</t>
        </is>
      </c>
    </row>
    <row r="50" ht="6.5" customHeight="1"/>
    <row r="51" ht="14" customHeight="1"/>
    <row r="52" ht="17" customHeight="1">
      <c r="B52" s="5" t="inlineStr">
        <is>
          <t>Segment panel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</row>
    <row r="53" ht="12.5" customHeight="1">
      <c r="B53" s="16" t="inlineStr">
        <is>
          <t>A reader convenience. Changing the segment below re-reads this panel only; every other figure in the workbook is company Total unless its own row says otherwise.</t>
        </is>
      </c>
    </row>
    <row r="54" ht="6.5" customHeight="1"/>
    <row r="55" ht="14" customHeight="1">
      <c r="B55" s="49" t="inlineStr">
        <is>
          <t>Segment:</t>
        </is>
      </c>
      <c r="C55" s="50" t="inlineStr">
        <is>
          <t>Total</t>
        </is>
      </c>
    </row>
    <row r="56" ht="14" customHeight="1"/>
    <row r="57" ht="14" customHeight="1">
      <c r="B57" s="19" t="inlineStr">
        <is>
          <t>Jun-2026 Exit ARR (actual)</t>
        </is>
      </c>
      <c r="D57" s="51">
        <f>_xlfn.XLOOKUP($C$55,tbl_segment_arr[segment],tbl_segment_arr[jun_2026_actual_arr])</f>
        <v/>
      </c>
    </row>
    <row r="58" ht="14" customHeight="1">
      <c r="B58" s="19" t="inlineStr">
        <is>
          <t>Dec-2026 Exit ARR (Base reforecast)</t>
        </is>
      </c>
      <c r="D58" s="51">
        <f>_xlfn.XLOOKUP($C$55,tbl_segment_arr[segment],tbl_segment_arr[dec_2026_base_arr])</f>
        <v/>
      </c>
    </row>
    <row r="59" ht="14" customHeight="1">
      <c r="B59" s="19" t="inlineStr">
        <is>
          <t>H2 2026 net new ARR</t>
        </is>
      </c>
      <c r="D59" s="52">
        <f>_xlfn.XLOOKUP($C$55,tbl_segment_arr[segment],tbl_segment_arr[h2_2026_net_new_arr])</f>
        <v/>
      </c>
    </row>
    <row r="60" ht="14" customHeight="1">
      <c r="B60" s="19" t="inlineStr">
        <is>
          <t>Share of Dec-2026 ARR</t>
        </is>
      </c>
      <c r="D60" s="53">
        <f>_xlfn.XLOOKUP($C$55,tbl_segment_arr[segment],tbl_segment_arr[share_of_dec_2026_arr])</f>
        <v/>
      </c>
    </row>
    <row r="61" ht="14" customHeight="1">
      <c r="B61" s="19" t="inlineStr">
        <is>
          <t>TTM NRR at Jun-2026</t>
        </is>
      </c>
      <c r="D61" s="53">
        <f>_xlfn.XLOOKUP(1,(tbl_retention[segment]=$C$55)*(tbl_retention[month_label]="Jun-26"),tbl_retention[nrr],"")</f>
        <v/>
      </c>
    </row>
    <row r="62" ht="14" customHeight="1">
      <c r="B62" s="19" t="inlineStr">
        <is>
          <t>TTM GRR at Jun-2026</t>
        </is>
      </c>
      <c r="D62" s="53">
        <f>_xlfn.XLOOKUP(1,(tbl_retention[segment]=$C$55)*(tbl_retention[month_label]="Jun-26"),tbl_retention[grr],"")</f>
        <v/>
      </c>
    </row>
    <row r="63" ht="14" customHeight="1">
      <c r="B63" s="19" t="inlineStr">
        <is>
          <t>TTM logo retention at Jun-2026</t>
        </is>
      </c>
      <c r="D63" s="53">
        <f>_xlfn.XLOOKUP(1,(tbl_retention[segment]=$C$55)*(tbl_retention[month_label]="Jun-26"),tbl_retention[logo_retention],"")</f>
        <v/>
      </c>
    </row>
    <row r="64" ht="14" customHeight="1">
      <c r="B64" s="19" t="inlineStr">
        <is>
          <t>Forward ATR, next four quarters</t>
        </is>
      </c>
      <c r="D64" s="51">
        <f>SUMIFS(tbl_atr[atr_arr],tbl_atr[segment],$C$55,tbl_atr[renewal_quarter],"&lt;=2027Q2")</f>
        <v/>
      </c>
    </row>
    <row r="65" ht="14" customHeight="1"/>
    <row r="66" ht="12.5" customHeight="1">
      <c r="B66" s="3" t="inlineStr">
        <is>
          <t>Source: fct_arr_forecast, fct_retention_ttm, fct_renewal_base (Phases 4 and 6).</t>
        </is>
      </c>
    </row>
    <row r="67" ht="6.5" customHeight="1"/>
    <row r="68" ht="14" customHeight="1"/>
    <row r="69" ht="17" customHeight="1">
      <c r="B69" s="5" t="inlineStr">
        <is>
          <t>Forward renewal outlook -- available-to-renew by quarter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</row>
    <row r="70" ht="12.5" customHeight="1">
      <c r="B70" s="16" t="inlineStr">
        <is>
          <t>ATR is each in-force contract's ARR measured today, not its book value at signing. Renewals cluster in Q4 2026 and Q1 2027: real contract-anniversary seasonality, not a smoothing assumption.</t>
        </is>
      </c>
    </row>
    <row r="71" ht="6.5" customHeight="1"/>
    <row r="72" ht="14" customHeight="1">
      <c r="B72" s="17" t="inlineStr">
        <is>
          <t>Renewal quarter</t>
        </is>
      </c>
      <c r="C72" s="18" t="inlineStr">
        <is>
          <t>SMB</t>
        </is>
      </c>
      <c r="D72" s="18" t="inlineStr">
        <is>
          <t>Mid-Market</t>
        </is>
      </c>
      <c r="E72" s="18" t="inlineStr">
        <is>
          <t>Enterprise</t>
        </is>
      </c>
      <c r="F72" s="18" t="inlineStr">
        <is>
          <t>Total</t>
        </is>
      </c>
    </row>
    <row r="73" ht="14" customHeight="1">
      <c r="B73" s="19" t="inlineStr">
        <is>
          <t>2026Q3</t>
        </is>
      </c>
      <c r="C73" s="20" t="n">
        <v>230751.48</v>
      </c>
      <c r="D73" s="20" t="n">
        <v>2054292.48</v>
      </c>
      <c r="E73" s="20" t="n">
        <v>831189.48</v>
      </c>
      <c r="F73" s="51" t="n">
        <v>3116233.44</v>
      </c>
    </row>
    <row r="74" ht="14" customHeight="1">
      <c r="B74" s="19" t="inlineStr">
        <is>
          <t>2026Q4</t>
        </is>
      </c>
      <c r="C74" s="20" t="n">
        <v>499151.52</v>
      </c>
      <c r="D74" s="20" t="n">
        <v>3942065.52</v>
      </c>
      <c r="E74" s="20" t="n">
        <v>3463115.76</v>
      </c>
      <c r="F74" s="51" t="n">
        <v>7904332.8</v>
      </c>
    </row>
    <row r="75" ht="14" customHeight="1">
      <c r="B75" s="19" t="inlineStr">
        <is>
          <t>2027Q1</t>
        </is>
      </c>
      <c r="C75" s="20" t="n">
        <v>480256.56</v>
      </c>
      <c r="D75" s="20" t="n">
        <v>4137916.44</v>
      </c>
      <c r="E75" s="20" t="n">
        <v>3761399.88</v>
      </c>
      <c r="F75" s="51" t="n">
        <v>8379572.88</v>
      </c>
    </row>
    <row r="76" ht="14" customHeight="1">
      <c r="B76" s="19" t="inlineStr">
        <is>
          <t>2027Q2</t>
        </is>
      </c>
      <c r="C76" s="20" t="n">
        <v>515040.36</v>
      </c>
      <c r="D76" s="20" t="n">
        <v>3068660.76</v>
      </c>
      <c r="E76" s="20" t="n">
        <v>766476.72</v>
      </c>
      <c r="F76" s="51" t="n">
        <v>4350177.84</v>
      </c>
    </row>
    <row r="77" ht="14" customHeight="1">
      <c r="B77" s="19" t="inlineStr">
        <is>
          <t>2027Q3</t>
        </is>
      </c>
      <c r="C77" s="20" t="n">
        <v>15480.24</v>
      </c>
      <c r="D77" s="20" t="n">
        <v>450161.52</v>
      </c>
      <c r="E77" s="20" t="n">
        <v>425074.32</v>
      </c>
      <c r="F77" s="51" t="n">
        <v>890716.08</v>
      </c>
    </row>
    <row r="78" ht="14" customHeight="1">
      <c r="B78" s="19" t="inlineStr">
        <is>
          <t>2027Q4</t>
        </is>
      </c>
      <c r="C78" s="20" t="n">
        <v>20829.84</v>
      </c>
      <c r="D78" s="20" t="n">
        <v>239958.36</v>
      </c>
      <c r="E78" s="20" t="n">
        <v>299074.44</v>
      </c>
      <c r="F78" s="51" t="n">
        <v>559862.64</v>
      </c>
    </row>
    <row r="79" ht="14" customHeight="1"/>
    <row r="80" ht="12.5" customHeight="1">
      <c r="B80" s="3" t="inlineStr">
        <is>
          <t>Source: fct_renewal_base (Phase 4).</t>
        </is>
      </c>
    </row>
    <row r="81" ht="6.5" customHeight="1"/>
  </sheetData>
  <dataValidations count="1">
    <dataValidation sqref="C55" showDropDown="0" showInputMessage="0" showErrorMessage="0" allowBlank="0" errorTitle="Segment" error="Choose Total, SMB, Mid-Market or Enterprise." type="list">
      <formula1>"Total,SMB,Mid-Market,Enterprise"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72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4" customHeight="1"/>
  <cols>
    <col width="1.8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2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 -- GTM capacity, pipeline and unit economics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7" customHeight="1">
      <c r="B7" s="5" t="inlineStr">
        <is>
          <t>Capacity does not equal achievable bookings</t>
        </is>
      </c>
      <c r="C7" s="6" t="n"/>
      <c r="D7" s="6" t="n"/>
      <c r="E7" s="6" t="n"/>
      <c r="F7" s="6" t="n"/>
      <c r="G7" s="6" t="n"/>
    </row>
    <row r="8" ht="12.5" customHeight="1">
      <c r="B8" s="16" t="inlineStr">
        <is>
          <t>New Logo ARR is LEAST(New Logo productive capacity, pipeline-supported bookings). Blended capacity credits Expansion and Renewal Uplift work the New Logo target was never sized against, so it is shown for context and never compared to that target.</t>
        </is>
      </c>
    </row>
    <row r="9" ht="6.5" customHeight="1"/>
    <row r="10" ht="14" customHeight="1">
      <c r="B10" s="17" t="inlineStr">
        <is>
          <t>H2 2026, Base reforecast</t>
        </is>
      </c>
      <c r="C10" s="18" t="inlineStr">
        <is>
          <t>SMB</t>
        </is>
      </c>
      <c r="D10" s="18" t="inlineStr">
        <is>
          <t>Mid-Market</t>
        </is>
      </c>
      <c r="E10" s="18" t="inlineStr">
        <is>
          <t>Enterprise</t>
        </is>
      </c>
      <c r="F10" s="18" t="inlineStr">
        <is>
          <t>Total</t>
        </is>
      </c>
    </row>
    <row r="11" ht="14" customHeight="1">
      <c r="B11" s="19" t="inlineStr">
        <is>
          <t>New Logo productive capacity (capacity-supported)</t>
        </is>
      </c>
      <c r="C11" s="54">
        <f>_xlfn.XLOOKUP("SMB",tbl_gtm_constraint[segment],tbl_gtm_constraint[h2_capacity_supported_arr])</f>
        <v/>
      </c>
      <c r="D11" s="54">
        <f>_xlfn.XLOOKUP("Mid-Market",tbl_gtm_constraint[segment],tbl_gtm_constraint[h2_capacity_supported_arr])</f>
        <v/>
      </c>
      <c r="E11" s="54">
        <f>_xlfn.XLOOKUP("Enterprise",tbl_gtm_constraint[segment],tbl_gtm_constraint[h2_capacity_supported_arr])</f>
        <v/>
      </c>
      <c r="F11" s="54">
        <f>_xlfn.XLOOKUP("Total",tbl_gtm_constraint[segment],tbl_gtm_constraint[h2_capacity_supported_arr])</f>
        <v/>
      </c>
    </row>
    <row r="12" ht="14" customHeight="1">
      <c r="B12" s="19" t="inlineStr">
        <is>
          <t>Pipeline-supported bookings</t>
        </is>
      </c>
      <c r="C12" s="54">
        <f>_xlfn.XLOOKUP("SMB",tbl_gtm_constraint[segment],tbl_gtm_constraint[h2_pipeline_supported_arr])</f>
        <v/>
      </c>
      <c r="D12" s="54">
        <f>_xlfn.XLOOKUP("Mid-Market",tbl_gtm_constraint[segment],tbl_gtm_constraint[h2_pipeline_supported_arr])</f>
        <v/>
      </c>
      <c r="E12" s="54">
        <f>_xlfn.XLOOKUP("Enterprise",tbl_gtm_constraint[segment],tbl_gtm_constraint[h2_pipeline_supported_arr])</f>
        <v/>
      </c>
      <c r="F12" s="54">
        <f>_xlfn.XLOOKUP("Total",tbl_gtm_constraint[segment],tbl_gtm_constraint[h2_pipeline_supported_arr])</f>
        <v/>
      </c>
    </row>
    <row r="13" ht="14" customHeight="1">
      <c r="B13" s="34" t="inlineStr">
        <is>
          <t>Constrained New Logo ARR = LEAST of the two</t>
        </is>
      </c>
      <c r="C13" s="55">
        <f>_xlfn.XLOOKUP("SMB",tbl_gtm_constraint[segment],tbl_gtm_constraint[h2_constrained_new_logo_arr])</f>
        <v/>
      </c>
      <c r="D13" s="55">
        <f>_xlfn.XLOOKUP("Mid-Market",tbl_gtm_constraint[segment],tbl_gtm_constraint[h2_constrained_new_logo_arr])</f>
        <v/>
      </c>
      <c r="E13" s="55">
        <f>_xlfn.XLOOKUP("Enterprise",tbl_gtm_constraint[segment],tbl_gtm_constraint[h2_constrained_new_logo_arr])</f>
        <v/>
      </c>
      <c r="F13" s="55">
        <f>_xlfn.XLOOKUP("Total",tbl_gtm_constraint[segment],tbl_gtm_constraint[h2_constrained_new_logo_arr])</f>
        <v/>
      </c>
    </row>
    <row r="14" ht="14" customHeight="1">
      <c r="B14" s="19" t="inlineStr">
        <is>
          <t>Binding constraint</t>
        </is>
      </c>
      <c r="C14" s="24">
        <f>_xlfn.XLOOKUP("SMB",tbl_gtm_constraint[segment],tbl_gtm_constraint[primary_binding_constraint])</f>
        <v/>
      </c>
      <c r="D14" s="24">
        <f>_xlfn.XLOOKUP("Mid-Market",tbl_gtm_constraint[segment],tbl_gtm_constraint[primary_binding_constraint])</f>
        <v/>
      </c>
      <c r="E14" s="24">
        <f>_xlfn.XLOOKUP("Enterprise",tbl_gtm_constraint[segment],tbl_gtm_constraint[primary_binding_constraint])</f>
        <v/>
      </c>
      <c r="F14" s="24">
        <f>_xlfn.XLOOKUP("Total",tbl_gtm_constraint[segment],tbl_gtm_constraint[primary_binding_constraint])</f>
        <v/>
      </c>
    </row>
    <row r="15" ht="14" customHeight="1">
      <c r="B15" s="19" t="inlineStr">
        <is>
          <t>Segment-months pipeline-bound (of 6)</t>
        </is>
      </c>
      <c r="C15" s="48">
        <f>_xlfn.XLOOKUP("SMB",tbl_gtm_constraint[segment],tbl_gtm_constraint[h2_pipeline_bound_months])</f>
        <v/>
      </c>
      <c r="D15" s="48">
        <f>_xlfn.XLOOKUP("Mid-Market",tbl_gtm_constraint[segment],tbl_gtm_constraint[h2_pipeline_bound_months])</f>
        <v/>
      </c>
      <c r="E15" s="48">
        <f>_xlfn.XLOOKUP("Enterprise",tbl_gtm_constraint[segment],tbl_gtm_constraint[h2_pipeline_bound_months])</f>
        <v/>
      </c>
      <c r="F15" s="48">
        <f>_xlfn.XLOOKUP("Total",tbl_gtm_constraint[segment],tbl_gtm_constraint[h2_pipeline_bound_months])</f>
        <v/>
      </c>
    </row>
    <row r="16" ht="14" customHeight="1">
      <c r="B16" s="19" t="inlineStr">
        <is>
          <t>Segment-months capacity-bound (of 6)</t>
        </is>
      </c>
      <c r="C16" s="48">
        <f>_xlfn.XLOOKUP("SMB",tbl_gtm_constraint[segment],tbl_gtm_constraint[h2_capacity_bound_months])</f>
        <v/>
      </c>
      <c r="D16" s="48">
        <f>_xlfn.XLOOKUP("Mid-Market",tbl_gtm_constraint[segment],tbl_gtm_constraint[h2_capacity_bound_months])</f>
        <v/>
      </c>
      <c r="E16" s="48">
        <f>_xlfn.XLOOKUP("Enterprise",tbl_gtm_constraint[segment],tbl_gtm_constraint[h2_capacity_bound_months])</f>
        <v/>
      </c>
      <c r="F16" s="48">
        <f>_xlfn.XLOOKUP("Total",tbl_gtm_constraint[segment],tbl_gtm_constraint[h2_capacity_bound_months])</f>
        <v/>
      </c>
    </row>
    <row r="17" ht="14" customHeight="1">
      <c r="B17" s="19" t="inlineStr">
        <is>
          <t>FY2026 Budget New Logo ARR</t>
        </is>
      </c>
      <c r="C17" s="54">
        <f>_xlfn.XLOOKUP("SMB",tbl_gtm_constraint[segment],tbl_gtm_constraint[budget_new_logo_arr])</f>
        <v/>
      </c>
      <c r="D17" s="54">
        <f>_xlfn.XLOOKUP("Mid-Market",tbl_gtm_constraint[segment],tbl_gtm_constraint[budget_new_logo_arr])</f>
        <v/>
      </c>
      <c r="E17" s="54">
        <f>_xlfn.XLOOKUP("Enterprise",tbl_gtm_constraint[segment],tbl_gtm_constraint[budget_new_logo_arr])</f>
        <v/>
      </c>
      <c r="F17" s="54">
        <f>_xlfn.XLOOKUP("Total",tbl_gtm_constraint[segment],tbl_gtm_constraint[budget_new_logo_arr])</f>
        <v/>
      </c>
    </row>
    <row r="18" ht="14" customHeight="1">
      <c r="B18" s="19" t="inlineStr">
        <is>
          <t>FY2026 Base New Logo ARR</t>
        </is>
      </c>
      <c r="C18" s="54">
        <f>_xlfn.XLOOKUP("SMB",tbl_gtm_constraint[segment],tbl_gtm_constraint[base_new_logo_arr])</f>
        <v/>
      </c>
      <c r="D18" s="54">
        <f>_xlfn.XLOOKUP("Mid-Market",tbl_gtm_constraint[segment],tbl_gtm_constraint[base_new_logo_arr])</f>
        <v/>
      </c>
      <c r="E18" s="54">
        <f>_xlfn.XLOOKUP("Enterprise",tbl_gtm_constraint[segment],tbl_gtm_constraint[base_new_logo_arr])</f>
        <v/>
      </c>
      <c r="F18" s="54">
        <f>_xlfn.XLOOKUP("Total",tbl_gtm_constraint[segment],tbl_gtm_constraint[base_new_logo_arr])</f>
        <v/>
      </c>
    </row>
    <row r="19" ht="14" customHeight="1">
      <c r="B19" s="19" t="inlineStr">
        <is>
          <t>New Logo ARR variance vs Budget</t>
        </is>
      </c>
      <c r="C19" s="56">
        <f>_xlfn.XLOOKUP("SMB",tbl_gtm_constraint[segment],tbl_gtm_constraint[new_logo_arr_variance])</f>
        <v/>
      </c>
      <c r="D19" s="56">
        <f>_xlfn.XLOOKUP("Mid-Market",tbl_gtm_constraint[segment],tbl_gtm_constraint[new_logo_arr_variance])</f>
        <v/>
      </c>
      <c r="E19" s="56">
        <f>_xlfn.XLOOKUP("Enterprise",tbl_gtm_constraint[segment],tbl_gtm_constraint[new_logo_arr_variance])</f>
        <v/>
      </c>
      <c r="F19" s="56">
        <f>_xlfn.XLOOKUP("Total",tbl_gtm_constraint[segment],tbl_gtm_constraint[new_logo_arr_variance])</f>
        <v/>
      </c>
    </row>
    <row r="20" ht="14" customHeight="1"/>
    <row r="21" ht="12.5" customHeight="1">
      <c r="B21" s="3" t="inlineStr">
        <is>
          <t>Source: fct_new_logo_diagnosis and int_gtm_capacity_pipeline_forecast (Phases 6-7). Pipeline binds in 15 of the 18 H2 2026 segment-months -- a result the model produced, not a target it was tuned to.</t>
        </is>
      </c>
    </row>
    <row r="22" ht="6.5" customHeight="1"/>
    <row r="23" ht="14" customHeight="1"/>
    <row r="24" ht="17" customHeight="1">
      <c r="B24" s="5" t="inlineStr">
        <is>
          <t>Sales capacity at 30 June 2026</t>
        </is>
      </c>
      <c r="C24" s="6" t="n"/>
      <c r="D24" s="6" t="n"/>
      <c r="E24" s="6" t="n"/>
      <c r="F24" s="6" t="n"/>
      <c r="G24" s="6" t="n"/>
    </row>
    <row r="25" ht="12.5" customHeight="1">
      <c r="B25" s="16" t="inlineStr">
        <is>
          <t>Three different capacity measures, never conflated. Expected attainment is the trailing realised attainment of fully-ramped reps, by segment.</t>
        </is>
      </c>
    </row>
    <row r="26" ht="6.5" customHeight="1"/>
    <row r="27" ht="14" customHeight="1">
      <c r="B27" s="17" t="inlineStr">
        <is>
          <t>At 30 June 2026, monthly</t>
        </is>
      </c>
      <c r="C27" s="18" t="inlineStr">
        <is>
          <t>SMB</t>
        </is>
      </c>
      <c r="D27" s="18" t="inlineStr">
        <is>
          <t>Mid-Market</t>
        </is>
      </c>
      <c r="E27" s="18" t="inlineStr">
        <is>
          <t>Enterprise</t>
        </is>
      </c>
      <c r="F27" s="18" t="inlineStr">
        <is>
          <t>Total</t>
        </is>
      </c>
    </row>
    <row r="28" ht="14" customHeight="1">
      <c r="B28" s="19" t="inlineStr">
        <is>
          <t>Quota-carrying reps</t>
        </is>
      </c>
      <c r="C28" s="48">
        <f>_xlfn.XLOOKUP("SMB",tbl_gtm_capacity[segment],tbl_gtm_capacity[quota_carrying_reps])</f>
        <v/>
      </c>
      <c r="D28" s="48">
        <f>_xlfn.XLOOKUP("Mid-Market",tbl_gtm_capacity[segment],tbl_gtm_capacity[quota_carrying_reps])</f>
        <v/>
      </c>
      <c r="E28" s="48">
        <f>_xlfn.XLOOKUP("Enterprise",tbl_gtm_capacity[segment],tbl_gtm_capacity[quota_carrying_reps])</f>
        <v/>
      </c>
      <c r="F28" s="48">
        <f>_xlfn.XLOOKUP("Total",tbl_gtm_capacity[segment],tbl_gtm_capacity[quota_carrying_reps])</f>
        <v/>
      </c>
    </row>
    <row r="29" ht="14" customHeight="1">
      <c r="B29" s="19" t="inlineStr">
        <is>
          <t>Theoretical quota capacity (monthly)</t>
        </is>
      </c>
      <c r="C29" s="54">
        <f>_xlfn.XLOOKUP("SMB",tbl_gtm_capacity[segment],tbl_gtm_capacity[theoretical_quota_capacity])</f>
        <v/>
      </c>
      <c r="D29" s="54">
        <f>_xlfn.XLOOKUP("Mid-Market",tbl_gtm_capacity[segment],tbl_gtm_capacity[theoretical_quota_capacity])</f>
        <v/>
      </c>
      <c r="E29" s="54">
        <f>_xlfn.XLOOKUP("Enterprise",tbl_gtm_capacity[segment],tbl_gtm_capacity[theoretical_quota_capacity])</f>
        <v/>
      </c>
      <c r="F29" s="54">
        <f>_xlfn.XLOOKUP("Total",tbl_gtm_capacity[segment],tbl_gtm_capacity[theoretical_quota_capacity])</f>
        <v/>
      </c>
    </row>
    <row r="30" ht="12.5" customHeight="1">
      <c r="B30" s="19" t="inlineStr">
        <is>
          <t>Blended productive capacity (monthly)</t>
        </is>
      </c>
      <c r="C30" s="54">
        <f>_xlfn.XLOOKUP("SMB",tbl_gtm_capacity[segment],tbl_gtm_capacity[blended_productive_capacity])</f>
        <v/>
      </c>
      <c r="D30" s="54">
        <f>_xlfn.XLOOKUP("Mid-Market",tbl_gtm_capacity[segment],tbl_gtm_capacity[blended_productive_capacity])</f>
        <v/>
      </c>
      <c r="E30" s="54">
        <f>_xlfn.XLOOKUP("Enterprise",tbl_gtm_capacity[segment],tbl_gtm_capacity[blended_productive_capacity])</f>
        <v/>
      </c>
      <c r="F30" s="54">
        <f>_xlfn.XLOOKUP("Total",tbl_gtm_capacity[segment],tbl_gtm_capacity[blended_productive_capacity])</f>
        <v/>
      </c>
      <c r="H30" s="16" t="inlineStr">
        <is>
          <t>Read left to right within each segment: what the reps could sell, what the funnel supports, and what the model books. The third bar is the lesser of the first two -- pipeline sits below capacity in every segment.</t>
        </is>
      </c>
    </row>
    <row r="31" ht="14" customHeight="1">
      <c r="B31" s="34" t="inlineStr">
        <is>
          <t>New Logo productive capacity (monthly)</t>
        </is>
      </c>
      <c r="C31" s="55">
        <f>_xlfn.XLOOKUP("SMB",tbl_gtm_capacity[segment],tbl_gtm_capacity[new_logo_productive_capacity])</f>
        <v/>
      </c>
      <c r="D31" s="55">
        <f>_xlfn.XLOOKUP("Mid-Market",tbl_gtm_capacity[segment],tbl_gtm_capacity[new_logo_productive_capacity])</f>
        <v/>
      </c>
      <c r="E31" s="55">
        <f>_xlfn.XLOOKUP("Enterprise",tbl_gtm_capacity[segment],tbl_gtm_capacity[new_logo_productive_capacity])</f>
        <v/>
      </c>
      <c r="F31" s="55">
        <f>_xlfn.XLOOKUP("Total",tbl_gtm_capacity[segment],tbl_gtm_capacity[new_logo_productive_capacity])</f>
        <v/>
      </c>
    </row>
    <row r="32" ht="14" customHeight="1">
      <c r="B32" s="19" t="inlineStr">
        <is>
          <t>Expected attainment</t>
        </is>
      </c>
      <c r="C32" s="25">
        <f>_xlfn.XLOOKUP("SMB",tbl_gtm_capacity[segment],tbl_gtm_capacity[expected_attainment])</f>
        <v/>
      </c>
      <c r="D32" s="25">
        <f>_xlfn.XLOOKUP("Mid-Market",tbl_gtm_capacity[segment],tbl_gtm_capacity[expected_attainment])</f>
        <v/>
      </c>
      <c r="E32" s="25">
        <f>_xlfn.XLOOKUP("Enterprise",tbl_gtm_capacity[segment],tbl_gtm_capacity[expected_attainment])</f>
        <v/>
      </c>
      <c r="F32" s="25">
        <f>_xlfn.XLOOKUP("Total",tbl_gtm_capacity[segment],tbl_gtm_capacity[expected_attainment])</f>
        <v/>
      </c>
    </row>
    <row r="33" ht="14" customHeight="1">
      <c r="B33" s="19" t="inlineStr">
        <is>
          <t>New Logo share of credited bookings</t>
        </is>
      </c>
      <c r="C33" s="25">
        <f>_xlfn.XLOOKUP("SMB",tbl_gtm_capacity[segment],tbl_gtm_capacity[new_logo_share_of_bookings])</f>
        <v/>
      </c>
      <c r="D33" s="25">
        <f>_xlfn.XLOOKUP("Mid-Market",tbl_gtm_capacity[segment],tbl_gtm_capacity[new_logo_share_of_bookings])</f>
        <v/>
      </c>
      <c r="E33" s="25">
        <f>_xlfn.XLOOKUP("Enterprise",tbl_gtm_capacity[segment],tbl_gtm_capacity[new_logo_share_of_bookings])</f>
        <v/>
      </c>
      <c r="F33" s="25">
        <f>_xlfn.XLOOKUP("Total",tbl_gtm_capacity[segment],tbl_gtm_capacity[new_logo_share_of_bookings])</f>
        <v/>
      </c>
    </row>
    <row r="34" ht="14" customHeight="1">
      <c r="B34" s="19" t="inlineStr">
        <is>
          <t>Actual bookings (month)</t>
        </is>
      </c>
      <c r="C34" s="54">
        <f>_xlfn.XLOOKUP("SMB",tbl_gtm_capacity[segment],tbl_gtm_capacity[actual_bookings])</f>
        <v/>
      </c>
      <c r="D34" s="54">
        <f>_xlfn.XLOOKUP("Mid-Market",tbl_gtm_capacity[segment],tbl_gtm_capacity[actual_bookings])</f>
        <v/>
      </c>
      <c r="E34" s="54">
        <f>_xlfn.XLOOKUP("Enterprise",tbl_gtm_capacity[segment],tbl_gtm_capacity[actual_bookings])</f>
        <v/>
      </c>
      <c r="F34" s="54">
        <f>_xlfn.XLOOKUP("Total",tbl_gtm_capacity[segment],tbl_gtm_capacity[actual_bookings])</f>
        <v/>
      </c>
    </row>
    <row r="35" ht="14" customHeight="1"/>
    <row r="36" ht="12.5" customHeight="1">
      <c r="B36" s="3" t="inlineStr">
        <is>
          <t>Source: fct_sales_capacity, int_gtm_new_logo_mix (Phase 5).</t>
        </is>
      </c>
    </row>
    <row r="37" ht="6.5" customHeight="1"/>
    <row r="38" ht="14" customHeight="1"/>
    <row r="39" ht="17" customHeight="1">
      <c r="B39" s="5" t="inlineStr">
        <is>
          <t>Pipeline, conversion and cycle</t>
        </is>
      </c>
      <c r="C39" s="6" t="n"/>
      <c r="D39" s="6" t="n"/>
      <c r="E39" s="6" t="n"/>
      <c r="F39" s="6" t="n"/>
      <c r="G39" s="6" t="n"/>
    </row>
    <row r="40" ht="12.5" customHeight="1">
      <c r="B40" s="16" t="inlineStr">
        <is>
          <t>Win rate is Closed Won / (Closed Won + Closed Lost), New Logo only -- open pipeline is excluded from the denominator. Median cycle is the headline because the distribution is right-skewed.</t>
        </is>
      </c>
    </row>
    <row r="41" ht="6.5" customHeight="1"/>
    <row r="42" ht="14" customHeight="1">
      <c r="B42" s="17" t="inlineStr">
        <is>
          <t>All closed New Logo opportunities to date</t>
        </is>
      </c>
      <c r="C42" s="18" t="inlineStr">
        <is>
          <t>SMB</t>
        </is>
      </c>
      <c r="D42" s="18" t="inlineStr">
        <is>
          <t>Mid-Market</t>
        </is>
      </c>
      <c r="E42" s="18" t="inlineStr">
        <is>
          <t>Enterprise</t>
        </is>
      </c>
      <c r="F42" s="18" t="inlineStr">
        <is>
          <t>Total</t>
        </is>
      </c>
    </row>
    <row r="43" ht="14" customHeight="1">
      <c r="B43" s="19" t="inlineStr">
        <is>
          <t>New Logo win rate (all-time)</t>
        </is>
      </c>
      <c r="C43" s="25">
        <f>_xlfn.XLOOKUP("SMB",tbl_win_rate[segment],tbl_win_rate[win_rate])</f>
        <v/>
      </c>
      <c r="D43" s="25">
        <f>_xlfn.XLOOKUP("Mid-Market",tbl_win_rate[segment],tbl_win_rate[win_rate])</f>
        <v/>
      </c>
      <c r="E43" s="25">
        <f>_xlfn.XLOOKUP("Enterprise",tbl_win_rate[segment],tbl_win_rate[win_rate])</f>
        <v/>
      </c>
      <c r="F43" s="25">
        <f>_xlfn.XLOOKUP("Total",tbl_win_rate[segment],tbl_win_rate[win_rate])</f>
        <v/>
      </c>
    </row>
    <row r="44" ht="14" customHeight="1">
      <c r="B44" s="19" t="inlineStr">
        <is>
          <t>Required pipeline per $1 of target</t>
        </is>
      </c>
      <c r="C44" s="57">
        <f>_xlfn.XLOOKUP("SMB",tbl_win_rate[segment],tbl_win_rate[required_pipeline_per_dollar])</f>
        <v/>
      </c>
      <c r="D44" s="57">
        <f>_xlfn.XLOOKUP("Mid-Market",tbl_win_rate[segment],tbl_win_rate[required_pipeline_per_dollar])</f>
        <v/>
      </c>
      <c r="E44" s="57">
        <f>_xlfn.XLOOKUP("Enterprise",tbl_win_rate[segment],tbl_win_rate[required_pipeline_per_dollar])</f>
        <v/>
      </c>
      <c r="F44" s="57">
        <f>_xlfn.XLOOKUP("Total",tbl_win_rate[segment],tbl_win_rate[required_pipeline_per_dollar])</f>
        <v/>
      </c>
    </row>
    <row r="45" ht="14" customHeight="1">
      <c r="B45" s="19" t="inlineStr">
        <is>
          <t>Median sales cycle</t>
        </is>
      </c>
      <c r="C45" s="58">
        <f>_xlfn.XLOOKUP("SMB",tbl_win_rate[segment],tbl_win_rate[median_sales_cycle_days])</f>
        <v/>
      </c>
      <c r="D45" s="58">
        <f>_xlfn.XLOOKUP("Mid-Market",tbl_win_rate[segment],tbl_win_rate[median_sales_cycle_days])</f>
        <v/>
      </c>
      <c r="E45" s="58">
        <f>_xlfn.XLOOKUP("Enterprise",tbl_win_rate[segment],tbl_win_rate[median_sales_cycle_days])</f>
        <v/>
      </c>
      <c r="F45" s="58">
        <f>_xlfn.XLOOKUP("Total",tbl_win_rate[segment],tbl_win_rate[median_sales_cycle_days])</f>
        <v/>
      </c>
    </row>
    <row r="46" ht="14" customHeight="1">
      <c r="B46" s="19" t="inlineStr">
        <is>
          <t>Closed-won New Logo opportunities</t>
        </is>
      </c>
      <c r="C46" s="48">
        <f>_xlfn.XLOOKUP("SMB",tbl_win_rate[segment],tbl_win_rate[closed_won])</f>
        <v/>
      </c>
      <c r="D46" s="48">
        <f>_xlfn.XLOOKUP("Mid-Market",tbl_win_rate[segment],tbl_win_rate[closed_won])</f>
        <v/>
      </c>
      <c r="E46" s="48">
        <f>_xlfn.XLOOKUP("Enterprise",tbl_win_rate[segment],tbl_win_rate[closed_won])</f>
        <v/>
      </c>
      <c r="F46" s="48">
        <f>_xlfn.XLOOKUP("Total",tbl_win_rate[segment],tbl_win_rate[closed_won])</f>
        <v/>
      </c>
    </row>
    <row r="47" ht="14" customHeight="1">
      <c r="B47" s="19" t="inlineStr">
        <is>
          <t>Closed-lost New Logo opportunities</t>
        </is>
      </c>
      <c r="C47" s="48">
        <f>_xlfn.XLOOKUP("SMB",tbl_win_rate[segment],tbl_win_rate[closed_lost])</f>
        <v/>
      </c>
      <c r="D47" s="48">
        <f>_xlfn.XLOOKUP("Mid-Market",tbl_win_rate[segment],tbl_win_rate[closed_lost])</f>
        <v/>
      </c>
      <c r="E47" s="48">
        <f>_xlfn.XLOOKUP("Enterprise",tbl_win_rate[segment],tbl_win_rate[closed_lost])</f>
        <v/>
      </c>
      <c r="F47" s="48">
        <f>_xlfn.XLOOKUP("Total",tbl_win_rate[segment],tbl_win_rate[closed_lost])</f>
        <v/>
      </c>
    </row>
    <row r="48" ht="14" customHeight="1">
      <c r="B48" s="19" t="inlineStr">
        <is>
          <t>Open CRM pipeline ACV at 30 Jun 2026 (unweighted)</t>
        </is>
      </c>
      <c r="F48" s="55">
        <f>SUM(tbl_pipeline[unweighted_acv])</f>
        <v/>
      </c>
    </row>
    <row r="49" ht="14" customHeight="1">
      <c r="B49" s="19" t="inlineStr">
        <is>
          <t>Open CRM pipeline ACV (probability-weighted)</t>
        </is>
      </c>
      <c r="F49" s="54">
        <f>SUM(tbl_pipeline[weighted_acv])</f>
        <v/>
      </c>
    </row>
    <row r="50" ht="14" customHeight="1">
      <c r="B50" s="19" t="inlineStr">
        <is>
          <t>Open pipeline coverage of the FY2026 Budget New Logo ARR target</t>
        </is>
      </c>
      <c r="F50" s="36">
        <f>SUM(tbl_pipeline[unweighted_acv])/_xlfn.XLOOKUP("Total",tbl_gtm_constraint[segment],tbl_gtm_constraint[budget_new_logo_arr])</f>
        <v/>
      </c>
    </row>
    <row r="51" ht="14" customHeight="1"/>
    <row r="52" ht="12.5" customHeight="1">
      <c r="B52" s="3" t="inlineStr">
        <is>
          <t>Source: fct_pipeline_snapshot, int_crm_opportunity_normalized (Phase 5); Budget New Logo ARR from fct_new_logo_diagnosis (Phase 7).</t>
        </is>
      </c>
    </row>
    <row r="53" ht="6.5" customHeight="1"/>
    <row r="54" ht="14" customHeight="1"/>
    <row r="55" ht="17" customHeight="1">
      <c r="B55" s="5" t="inlineStr">
        <is>
          <t>SaaS unit economics -- FY2025</t>
        </is>
      </c>
      <c r="C55" s="6" t="n"/>
      <c r="D55" s="6" t="n"/>
      <c r="E55" s="6" t="n"/>
      <c r="F55" s="6" t="n"/>
      <c r="G55" s="6" t="n"/>
    </row>
    <row r="56" ht="12.5" customHeight="1">
      <c r="B56" s="16" t="inlineStr">
        <is>
          <t>Period-summed: bookings and cost sum across the year, then divide once. CAC uses prior-quarter acquisition S&amp;M; payback uses a company-level blended gross margin, because the source ledger carries no customer-segment dimension on revenue or COGS.</t>
        </is>
      </c>
    </row>
    <row r="57" ht="6.5" customHeight="1"/>
    <row r="58" ht="14" customHeight="1">
      <c r="B58" s="17" t="inlineStr">
        <is>
          <t>FY2025</t>
        </is>
      </c>
      <c r="C58" s="18" t="inlineStr">
        <is>
          <t>SMB</t>
        </is>
      </c>
      <c r="D58" s="18" t="inlineStr">
        <is>
          <t>Mid-Market</t>
        </is>
      </c>
      <c r="E58" s="18" t="inlineStr">
        <is>
          <t>Enterprise</t>
        </is>
      </c>
      <c r="F58" s="18" t="inlineStr">
        <is>
          <t>Blended</t>
        </is>
      </c>
    </row>
    <row r="59" ht="14" customHeight="1">
      <c r="B59" s="19" t="inlineStr">
        <is>
          <t>New logos acquired</t>
        </is>
      </c>
      <c r="C59" s="48">
        <f>_xlfn.XLOOKUP("SMB",tbl_unit_econ[segment],tbl_unit_econ[new_logos])</f>
        <v/>
      </c>
      <c r="D59" s="48">
        <f>_xlfn.XLOOKUP("Mid-Market",tbl_unit_econ[segment],tbl_unit_econ[new_logos])</f>
        <v/>
      </c>
      <c r="E59" s="48">
        <f>_xlfn.XLOOKUP("Enterprise",tbl_unit_econ[segment],tbl_unit_econ[new_logos])</f>
        <v/>
      </c>
      <c r="F59" s="48">
        <f>_xlfn.XLOOKUP("Blended",tbl_unit_econ[segment],tbl_unit_econ[new_logos])</f>
        <v/>
      </c>
    </row>
    <row r="60" ht="14" customHeight="1">
      <c r="B60" s="19" t="inlineStr">
        <is>
          <t>New Logo ARR</t>
        </is>
      </c>
      <c r="C60" s="54">
        <f>_xlfn.XLOOKUP("SMB",tbl_unit_econ[segment],tbl_unit_econ[new_logo_arr])</f>
        <v/>
      </c>
      <c r="D60" s="54">
        <f>_xlfn.XLOOKUP("Mid-Market",tbl_unit_econ[segment],tbl_unit_econ[new_logo_arr])</f>
        <v/>
      </c>
      <c r="E60" s="54">
        <f>_xlfn.XLOOKUP("Enterprise",tbl_unit_econ[segment],tbl_unit_econ[new_logo_arr])</f>
        <v/>
      </c>
      <c r="F60" s="54">
        <f>_xlfn.XLOOKUP("Blended",tbl_unit_econ[segment],tbl_unit_econ[new_logo_arr])</f>
        <v/>
      </c>
    </row>
    <row r="61" ht="14" customHeight="1">
      <c r="B61" s="19" t="inlineStr">
        <is>
          <t>New Logo ARPA</t>
        </is>
      </c>
      <c r="C61" s="59">
        <f>_xlfn.XLOOKUP("SMB",tbl_unit_econ[segment],tbl_unit_econ[new_logo_arpa])</f>
        <v/>
      </c>
      <c r="D61" s="59">
        <f>_xlfn.XLOOKUP("Mid-Market",tbl_unit_econ[segment],tbl_unit_econ[new_logo_arpa])</f>
        <v/>
      </c>
      <c r="E61" s="59">
        <f>_xlfn.XLOOKUP("Enterprise",tbl_unit_econ[segment],tbl_unit_econ[new_logo_arpa])</f>
        <v/>
      </c>
      <c r="F61" s="59">
        <f>_xlfn.XLOOKUP("Blended",tbl_unit_econ[segment],tbl_unit_econ[new_logo_arpa])</f>
        <v/>
      </c>
    </row>
    <row r="62" ht="14" customHeight="1">
      <c r="B62" s="34" t="inlineStr">
        <is>
          <t>New-customer CAC</t>
        </is>
      </c>
      <c r="C62" s="60">
        <f>_xlfn.XLOOKUP("SMB",tbl_unit_econ[segment],tbl_unit_econ[cac])</f>
        <v/>
      </c>
      <c r="D62" s="60">
        <f>_xlfn.XLOOKUP("Mid-Market",tbl_unit_econ[segment],tbl_unit_econ[cac])</f>
        <v/>
      </c>
      <c r="E62" s="60">
        <f>_xlfn.XLOOKUP("Enterprise",tbl_unit_econ[segment],tbl_unit_econ[cac])</f>
        <v/>
      </c>
      <c r="F62" s="60">
        <f>_xlfn.XLOOKUP("Blended",tbl_unit_econ[segment],tbl_unit_econ[cac])</f>
        <v/>
      </c>
    </row>
    <row r="63" ht="14" customHeight="1">
      <c r="B63" s="19" t="inlineStr">
        <is>
          <t>CAC per $1 of New Logo ARR</t>
        </is>
      </c>
      <c r="C63" s="57">
        <f>_xlfn.XLOOKUP("SMB",tbl_unit_econ[segment],tbl_unit_econ[cac_per_dollar_new_logo_arr])</f>
        <v/>
      </c>
      <c r="D63" s="57">
        <f>_xlfn.XLOOKUP("Mid-Market",tbl_unit_econ[segment],tbl_unit_econ[cac_per_dollar_new_logo_arr])</f>
        <v/>
      </c>
      <c r="E63" s="57">
        <f>_xlfn.XLOOKUP("Enterprise",tbl_unit_econ[segment],tbl_unit_econ[cac_per_dollar_new_logo_arr])</f>
        <v/>
      </c>
      <c r="F63" s="57">
        <f>_xlfn.XLOOKUP("Blended",tbl_unit_econ[segment],tbl_unit_econ[cac_per_dollar_new_logo_arr])</f>
        <v/>
      </c>
    </row>
    <row r="64" ht="14" customHeight="1">
      <c r="B64" s="19" t="inlineStr">
        <is>
          <t>Gross margin used in payback</t>
        </is>
      </c>
      <c r="C64" s="25">
        <f>_xlfn.XLOOKUP("SMB",tbl_unit_econ[segment],tbl_unit_econ[gross_margin_pct])</f>
        <v/>
      </c>
      <c r="D64" s="25">
        <f>_xlfn.XLOOKUP("Mid-Market",tbl_unit_econ[segment],tbl_unit_econ[gross_margin_pct])</f>
        <v/>
      </c>
      <c r="E64" s="25">
        <f>_xlfn.XLOOKUP("Enterprise",tbl_unit_econ[segment],tbl_unit_econ[gross_margin_pct])</f>
        <v/>
      </c>
      <c r="F64" s="25">
        <f>_xlfn.XLOOKUP("Blended",tbl_unit_econ[segment],tbl_unit_econ[gross_margin_pct])</f>
        <v/>
      </c>
    </row>
    <row r="65" ht="14" customHeight="1">
      <c r="B65" s="34" t="inlineStr">
        <is>
          <t>CAC payback</t>
        </is>
      </c>
      <c r="C65" s="61">
        <f>_xlfn.XLOOKUP("SMB",tbl_unit_econ[segment],tbl_unit_econ[cac_payback_months])</f>
        <v/>
      </c>
      <c r="D65" s="61">
        <f>_xlfn.XLOOKUP("Mid-Market",tbl_unit_econ[segment],tbl_unit_econ[cac_payback_months])</f>
        <v/>
      </c>
      <c r="E65" s="61">
        <f>_xlfn.XLOOKUP("Enterprise",tbl_unit_econ[segment],tbl_unit_econ[cac_payback_months])</f>
        <v/>
      </c>
      <c r="F65" s="61">
        <f>_xlfn.XLOOKUP("Blended",tbl_unit_econ[segment],tbl_unit_econ[cac_payback_months])</f>
        <v/>
      </c>
    </row>
    <row r="66" ht="14" customHeight="1"/>
    <row r="67" ht="14" customHeight="1">
      <c r="B67" s="19" t="inlineStr">
        <is>
          <t>Net ARR Sales Efficiency (FY2025 average)</t>
        </is>
      </c>
      <c r="F67" s="62" t="n">
        <v>0.4117170313443398</v>
      </c>
    </row>
    <row r="68" ht="14" customHeight="1">
      <c r="B68" s="19" t="inlineStr">
        <is>
          <t>Magic Number, classic (FY2025 average)</t>
        </is>
      </c>
      <c r="F68" s="63" t="n">
        <v>0.42716550278597</v>
      </c>
    </row>
    <row r="69" ht="14" customHeight="1">
      <c r="B69" s="19" t="inlineStr">
        <is>
          <t>Net ARR Sales Efficiency (2026Q2)</t>
        </is>
      </c>
      <c r="F69" s="63" t="n">
        <v>0.6396900206574971</v>
      </c>
    </row>
    <row r="70" ht="12.5" customHeight="1">
      <c r="B70" s="16" t="inlineStr">
        <is>
          <t>The two are a labelled pair, never averaged into one number: Net ARR Sales Efficiency is ARR-based and forward-leaning; the Magic Number is recognised-revenue-based and lags.</t>
        </is>
      </c>
    </row>
    <row r="71" ht="14" customHeight="1"/>
    <row r="72" ht="12.5" customHeight="1">
      <c r="B72" s="3" t="inlineStr">
        <is>
          <t>Source: fct_unit_economics, fct_sales_efficiency (Phase 5).</t>
        </is>
      </c>
    </row>
    <row r="73" ht="6.5" customHeight="1"/>
  </sheetData>
  <conditionalFormatting sqref="C19:F1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40"/>
  <sheetViews>
    <sheetView showGridLines="0" zoomScale="10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.8" customWidth="1" min="1" max="1"/>
    <col width="32" customWidth="1" min="2" max="2"/>
    <col width="1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2.5" customWidth="1" min="16" max="16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 -- FY2026 monthly reforecast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2.5" customHeight="1">
      <c r="D7" s="64" t="inlineStr">
        <is>
          <t>JAN-JUN 2026  ACTUAL</t>
        </is>
      </c>
      <c r="E7" s="65" t="n"/>
      <c r="F7" s="65" t="n"/>
      <c r="G7" s="65" t="n"/>
      <c r="H7" s="65" t="n"/>
      <c r="I7" s="65" t="n"/>
      <c r="J7" s="66" t="inlineStr">
        <is>
          <t>JUL-DEC 2026  BASE REFORECAST</t>
        </is>
      </c>
      <c r="K7" s="67" t="n"/>
      <c r="L7" s="67" t="n"/>
      <c r="M7" s="67" t="n"/>
      <c r="N7" s="67" t="n"/>
      <c r="O7" s="67" t="n"/>
      <c r="P7" s="68" t="inlineStr">
        <is>
          <t>FY2026</t>
        </is>
      </c>
    </row>
    <row r="8" ht="14" customHeight="1">
      <c r="B8" s="37" t="inlineStr">
        <is>
          <t>FY2026 reforecast</t>
        </is>
      </c>
      <c r="C8" s="37" t="inlineStr">
        <is>
          <t>$000 unless stated</t>
        </is>
      </c>
      <c r="D8" s="69" t="inlineStr">
        <is>
          <t>Jan-26</t>
        </is>
      </c>
      <c r="E8" s="69" t="inlineStr">
        <is>
          <t>Feb-26</t>
        </is>
      </c>
      <c r="F8" s="69" t="inlineStr">
        <is>
          <t>Mar-26</t>
        </is>
      </c>
      <c r="G8" s="69" t="inlineStr">
        <is>
          <t>Apr-26</t>
        </is>
      </c>
      <c r="H8" s="69" t="inlineStr">
        <is>
          <t>May-26</t>
        </is>
      </c>
      <c r="I8" s="69" t="inlineStr">
        <is>
          <t>Jun-26</t>
        </is>
      </c>
      <c r="J8" s="69" t="inlineStr">
        <is>
          <t>Jul-26</t>
        </is>
      </c>
      <c r="K8" s="69" t="inlineStr">
        <is>
          <t>Aug-26</t>
        </is>
      </c>
      <c r="L8" s="69" t="inlineStr">
        <is>
          <t>Sep-26</t>
        </is>
      </c>
      <c r="M8" s="69" t="inlineStr">
        <is>
          <t>Oct-26</t>
        </is>
      </c>
      <c r="N8" s="69" t="inlineStr">
        <is>
          <t>Nov-26</t>
        </is>
      </c>
      <c r="O8" s="69" t="inlineStr">
        <is>
          <t>Dec-26</t>
        </is>
      </c>
      <c r="P8" s="69" t="inlineStr">
        <is>
          <t>FY2026</t>
        </is>
      </c>
    </row>
    <row r="9" ht="14" customHeight="1">
      <c r="B9" s="70" t="inlineStr">
        <is>
          <t>ARR waterfall</t>
        </is>
      </c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1" t="n"/>
      <c r="O9" s="71" t="n"/>
      <c r="P9" s="71" t="n"/>
    </row>
    <row r="10" ht="14" customHeight="1">
      <c r="B10" s="19" t="inlineStr">
        <is>
          <t>Beginning ARR</t>
        </is>
      </c>
      <c r="C10" s="19" t="inlineStr"/>
      <c r="D10" s="72" t="n">
        <v>30189315.84</v>
      </c>
      <c r="E10" s="72" t="n">
        <v>30180849.36</v>
      </c>
      <c r="F10" s="72" t="n">
        <v>30578224.92</v>
      </c>
      <c r="G10" s="72" t="n">
        <v>30837429.36</v>
      </c>
      <c r="H10" s="72" t="n">
        <v>31447353.84</v>
      </c>
      <c r="I10" s="72" t="n">
        <v>32493210.36</v>
      </c>
      <c r="J10" s="73" t="n">
        <v>33016720.32</v>
      </c>
      <c r="K10" s="73" t="n">
        <v>33671666.72031778</v>
      </c>
      <c r="L10" s="73" t="n">
        <v>33985619.40904452</v>
      </c>
      <c r="M10" s="73" t="n">
        <v>34227398.18838455</v>
      </c>
      <c r="N10" s="73" t="n">
        <v>34388015.77012163</v>
      </c>
      <c r="O10" s="73" t="n">
        <v>34776456.20934794</v>
      </c>
      <c r="P10" s="74">
        <f>D10</f>
        <v/>
      </c>
    </row>
    <row r="11" ht="14" customHeight="1">
      <c r="B11" s="75" t="inlineStr">
        <is>
          <t>New Logo</t>
        </is>
      </c>
      <c r="C11" s="19" t="inlineStr"/>
      <c r="D11" s="72" t="n">
        <v>267424.44</v>
      </c>
      <c r="E11" s="72" t="n">
        <v>347874.72</v>
      </c>
      <c r="F11" s="72" t="n">
        <v>452642.28</v>
      </c>
      <c r="G11" s="72" t="n">
        <v>134448.48</v>
      </c>
      <c r="H11" s="72" t="n">
        <v>170863.2</v>
      </c>
      <c r="I11" s="72" t="n">
        <v>650292.36</v>
      </c>
      <c r="J11" s="73" t="n">
        <v>379723.8431657766</v>
      </c>
      <c r="K11" s="73" t="n">
        <v>78926.91212814295</v>
      </c>
      <c r="L11" s="73" t="n">
        <v>10415.98618357488</v>
      </c>
      <c r="M11" s="73" t="n">
        <v>11305.86657004831</v>
      </c>
      <c r="N11" s="73" t="n">
        <v>350964.2754020019</v>
      </c>
      <c r="O11" s="73" t="n">
        <v>351431.1501149026</v>
      </c>
      <c r="P11" s="74">
        <f>SUM(D11:O11)</f>
        <v/>
      </c>
    </row>
    <row r="12" ht="14" customHeight="1">
      <c r="B12" s="75" t="inlineStr">
        <is>
          <t>Expansion</t>
        </is>
      </c>
      <c r="C12" s="19" t="inlineStr"/>
      <c r="D12" s="72" t="n">
        <v>361621.2000000001</v>
      </c>
      <c r="E12" s="72" t="n">
        <v>303632.88</v>
      </c>
      <c r="F12" s="72" t="n">
        <v>237688.44</v>
      </c>
      <c r="G12" s="72" t="n">
        <v>820157.04</v>
      </c>
      <c r="H12" s="72" t="n">
        <v>1119731.4</v>
      </c>
      <c r="I12" s="72" t="n">
        <v>510603.96</v>
      </c>
      <c r="J12" s="73" t="n">
        <v>514111.2721585745</v>
      </c>
      <c r="K12" s="73" t="n">
        <v>514111.2721585745</v>
      </c>
      <c r="L12" s="73" t="n">
        <v>514111.2721585745</v>
      </c>
      <c r="M12" s="73" t="n">
        <v>514111.2721585745</v>
      </c>
      <c r="N12" s="73" t="n">
        <v>514111.2721585745</v>
      </c>
      <c r="O12" s="73" t="n">
        <v>514111.2721585745</v>
      </c>
      <c r="P12" s="74">
        <f>SUM(D12:O12)</f>
        <v/>
      </c>
    </row>
    <row r="13" ht="14" customHeight="1">
      <c r="B13" s="75" t="inlineStr">
        <is>
          <t>Reactivation</t>
        </is>
      </c>
      <c r="C13" s="19" t="inlineStr"/>
      <c r="D13" s="72" t="n">
        <v>3132</v>
      </c>
      <c r="E13" s="72" t="n">
        <v>10064.52</v>
      </c>
      <c r="F13" s="72" t="n">
        <v>7982.76</v>
      </c>
      <c r="G13" s="72" t="n">
        <v>3643.2</v>
      </c>
      <c r="H13" s="72" t="n">
        <v>14374.56</v>
      </c>
      <c r="I13" s="72" t="n">
        <v>20643.24</v>
      </c>
      <c r="J13" s="73" t="n">
        <v>8534.9</v>
      </c>
      <c r="K13" s="73" t="n">
        <v>8534.9</v>
      </c>
      <c r="L13" s="73" t="n">
        <v>8534.9</v>
      </c>
      <c r="M13" s="73" t="n">
        <v>8534.9</v>
      </c>
      <c r="N13" s="73" t="n">
        <v>8534.9</v>
      </c>
      <c r="O13" s="73" t="n">
        <v>8534.9</v>
      </c>
      <c r="P13" s="74">
        <f>SUM(D13:O13)</f>
        <v/>
      </c>
    </row>
    <row r="14" ht="14" customHeight="1">
      <c r="B14" s="75" t="inlineStr">
        <is>
          <t>Contraction</t>
        </is>
      </c>
      <c r="C14" s="19" t="inlineStr"/>
      <c r="D14" s="72" t="n">
        <v>-451736.88</v>
      </c>
      <c r="E14" s="72" t="n">
        <v>-150335.16</v>
      </c>
      <c r="F14" s="72" t="n">
        <v>-205926.12</v>
      </c>
      <c r="G14" s="72" t="n">
        <v>-61498.8</v>
      </c>
      <c r="H14" s="72" t="n">
        <v>-139362.12</v>
      </c>
      <c r="I14" s="72" t="n">
        <v>-95907.84</v>
      </c>
      <c r="J14" s="73" t="n">
        <v>-86848.2886515485</v>
      </c>
      <c r="K14" s="73" t="n">
        <v>-99397.34960386796</v>
      </c>
      <c r="L14" s="73" t="n">
        <v>-102725.1590022825</v>
      </c>
      <c r="M14" s="73" t="n">
        <v>-140395.9414876271</v>
      </c>
      <c r="N14" s="73" t="n">
        <v>-183611.1087706609</v>
      </c>
      <c r="O14" s="73" t="n">
        <v>-351650.5468832045</v>
      </c>
      <c r="P14" s="74">
        <f>SUM(D14:O14)</f>
        <v/>
      </c>
    </row>
    <row r="15" ht="14" customHeight="1">
      <c r="B15" s="75" t="inlineStr">
        <is>
          <t>Churn</t>
        </is>
      </c>
      <c r="C15" s="19" t="inlineStr"/>
      <c r="D15" s="72" t="n">
        <v>-188907.24</v>
      </c>
      <c r="E15" s="72" t="n">
        <v>-113861.4</v>
      </c>
      <c r="F15" s="72" t="n">
        <v>-233182.92</v>
      </c>
      <c r="G15" s="72" t="n">
        <v>-286825.44</v>
      </c>
      <c r="H15" s="72" t="n">
        <v>-119750.52</v>
      </c>
      <c r="I15" s="72" t="n">
        <v>-562121.76</v>
      </c>
      <c r="J15" s="73" t="n">
        <v>-160575.3263550167</v>
      </c>
      <c r="K15" s="73" t="n">
        <v>-188223.0459561141</v>
      </c>
      <c r="L15" s="73" t="n">
        <v>-188558.2199998436</v>
      </c>
      <c r="M15" s="73" t="n">
        <v>-232938.5155039047</v>
      </c>
      <c r="N15" s="73" t="n">
        <v>-301558.8995636074</v>
      </c>
      <c r="O15" s="73" t="n">
        <v>-482466.4199405572</v>
      </c>
      <c r="P15" s="74">
        <f>SUM(D15:O15)</f>
        <v/>
      </c>
    </row>
    <row r="16" ht="14" customHeight="1">
      <c r="B16" s="19" t="inlineStr">
        <is>
          <t>Ending ARR</t>
        </is>
      </c>
      <c r="C16" s="19" t="inlineStr"/>
      <c r="D16" s="72" t="n">
        <v>30180849.36</v>
      </c>
      <c r="E16" s="72" t="n">
        <v>30578224.92</v>
      </c>
      <c r="F16" s="72" t="n">
        <v>30837429.36</v>
      </c>
      <c r="G16" s="72" t="n">
        <v>31447353.84</v>
      </c>
      <c r="H16" s="72" t="n">
        <v>32493210.36</v>
      </c>
      <c r="I16" s="72" t="n">
        <v>33016720.32</v>
      </c>
      <c r="J16" s="73" t="n">
        <v>33671666.72031779</v>
      </c>
      <c r="K16" s="73" t="n">
        <v>33985619.40904452</v>
      </c>
      <c r="L16" s="73" t="n">
        <v>34227398.18838455</v>
      </c>
      <c r="M16" s="73" t="n">
        <v>34388015.77012163</v>
      </c>
      <c r="N16" s="73" t="n">
        <v>34776456.20934794</v>
      </c>
      <c r="O16" s="73" t="n">
        <v>34816416.56479766</v>
      </c>
      <c r="P16" s="74">
        <f>O16</f>
        <v/>
      </c>
    </row>
    <row r="17" ht="6.5" customHeight="1"/>
    <row r="18" ht="14" customHeight="1">
      <c r="B18" s="32" t="inlineStr">
        <is>
          <t>Waterfall check (must be zero)</t>
        </is>
      </c>
      <c r="D18" s="76">
        <f>ROUND(D10+D11+D12+D13+D14+D15-D16,2)</f>
        <v/>
      </c>
      <c r="E18" s="76">
        <f>ROUND(E10+E11+E12+E13+E14+E15-E16,2)</f>
        <v/>
      </c>
      <c r="F18" s="76">
        <f>ROUND(F10+F11+F12+F13+F14+F15-F16,2)</f>
        <v/>
      </c>
      <c r="G18" s="76">
        <f>ROUND(G10+G11+G12+G13+G14+G15-G16,2)</f>
        <v/>
      </c>
      <c r="H18" s="76">
        <f>ROUND(H10+H11+H12+H13+H14+H15-H16,2)</f>
        <v/>
      </c>
      <c r="I18" s="76">
        <f>ROUND(I10+I11+I12+I13+I14+I15-I16,2)</f>
        <v/>
      </c>
      <c r="J18" s="76">
        <f>ROUND(J10+J11+J12+J13+J14+J15-J16,2)</f>
        <v/>
      </c>
      <c r="K18" s="76">
        <f>ROUND(K10+K11+K12+K13+K14+K15-K16,2)</f>
        <v/>
      </c>
      <c r="L18" s="76">
        <f>ROUND(L10+L11+L12+L13+L14+L15-L16,2)</f>
        <v/>
      </c>
      <c r="M18" s="76">
        <f>ROUND(M10+M11+M12+M13+M14+M15-M16,2)</f>
        <v/>
      </c>
      <c r="N18" s="76">
        <f>ROUND(N10+N11+N12+N13+N14+N15-N16,2)</f>
        <v/>
      </c>
      <c r="O18" s="76">
        <f>ROUND(O10+O11+O12+O13+O14+O15-O16,2)</f>
        <v/>
      </c>
    </row>
    <row r="19" ht="14" customHeight="1"/>
    <row r="20" ht="14" customHeight="1">
      <c r="B20" s="70" t="inlineStr">
        <is>
          <t>Profit and loss</t>
        </is>
      </c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</row>
    <row r="21" ht="14" customHeight="1">
      <c r="B21" s="75" t="inlineStr">
        <is>
          <t>Subscription Revenue</t>
        </is>
      </c>
      <c r="C21" s="19" t="inlineStr"/>
      <c r="D21" s="72" t="n">
        <v>2485743.32</v>
      </c>
      <c r="E21" s="72" t="n">
        <v>2515388.27</v>
      </c>
      <c r="F21" s="72" t="n">
        <v>2533283.83</v>
      </c>
      <c r="G21" s="72" t="n">
        <v>2560065.62</v>
      </c>
      <c r="H21" s="72" t="n">
        <v>2597740.65</v>
      </c>
      <c r="I21" s="72" t="n">
        <v>2668547.91</v>
      </c>
      <c r="J21" s="73" t="n">
        <v>2731761.7365</v>
      </c>
      <c r="K21" s="73" t="n">
        <v>2781411.736681232</v>
      </c>
      <c r="L21" s="73" t="n">
        <v>2820361.724926457</v>
      </c>
      <c r="M21" s="73" t="n">
        <v>2843216.478140128</v>
      </c>
      <c r="N21" s="73" t="n">
        <v>2859644.821528329</v>
      </c>
      <c r="O21" s="73" t="n">
        <v>2883471.500974676</v>
      </c>
      <c r="P21" s="74">
        <f>SUM(D21:O21)</f>
        <v/>
      </c>
    </row>
    <row r="22" ht="14" customHeight="1">
      <c r="B22" s="75" t="inlineStr">
        <is>
          <t>Services Revenue</t>
        </is>
      </c>
      <c r="C22" s="19" t="inlineStr"/>
      <c r="D22" s="72" t="n">
        <v>70707.55</v>
      </c>
      <c r="E22" s="72" t="n">
        <v>58952.53</v>
      </c>
      <c r="F22" s="72" t="n">
        <v>56835.99</v>
      </c>
      <c r="G22" s="72" t="n">
        <v>50909</v>
      </c>
      <c r="H22" s="72" t="n">
        <v>46436.61</v>
      </c>
      <c r="I22" s="72" t="n">
        <v>50722.78</v>
      </c>
      <c r="J22" s="73" t="n">
        <v>56429.8085680928</v>
      </c>
      <c r="K22" s="73" t="n">
        <v>11729.13058376841</v>
      </c>
      <c r="L22" s="73" t="n">
        <v>1547.893599429376</v>
      </c>
      <c r="M22" s="73" t="n">
        <v>1680.136493208562</v>
      </c>
      <c r="N22" s="73" t="n">
        <v>52155.92128758725</v>
      </c>
      <c r="O22" s="73" t="n">
        <v>52225.30236846599</v>
      </c>
      <c r="P22" s="74">
        <f>SUM(D22:O22)</f>
        <v/>
      </c>
    </row>
    <row r="23" ht="14" customHeight="1">
      <c r="B23" s="77" t="inlineStr">
        <is>
          <t>Total Revenue</t>
        </is>
      </c>
      <c r="C23" s="31" t="inlineStr"/>
      <c r="D23" s="78">
        <f>D21+D22</f>
        <v/>
      </c>
      <c r="E23" s="78">
        <f>E21+E22</f>
        <v/>
      </c>
      <c r="F23" s="78">
        <f>F21+F22</f>
        <v/>
      </c>
      <c r="G23" s="78">
        <f>G21+G22</f>
        <v/>
      </c>
      <c r="H23" s="78">
        <f>H21+H22</f>
        <v/>
      </c>
      <c r="I23" s="78">
        <f>I21+I22</f>
        <v/>
      </c>
      <c r="J23" s="79">
        <f>J21+J22</f>
        <v/>
      </c>
      <c r="K23" s="79">
        <f>K21+K22</f>
        <v/>
      </c>
      <c r="L23" s="79">
        <f>L21+L22</f>
        <v/>
      </c>
      <c r="M23" s="79">
        <f>M21+M22</f>
        <v/>
      </c>
      <c r="N23" s="79">
        <f>N21+N22</f>
        <v/>
      </c>
      <c r="O23" s="79">
        <f>O21+O22</f>
        <v/>
      </c>
      <c r="P23" s="80">
        <f>SUM(D23:O23)</f>
        <v/>
      </c>
    </row>
    <row r="24" ht="14" customHeight="1">
      <c r="B24" s="75" t="inlineStr">
        <is>
          <t>Subscription COGS</t>
        </is>
      </c>
      <c r="C24" s="19" t="inlineStr"/>
      <c r="D24" s="72" t="n">
        <v>485515.3</v>
      </c>
      <c r="E24" s="72" t="n">
        <v>492789.53</v>
      </c>
      <c r="F24" s="72" t="n">
        <v>519298.51</v>
      </c>
      <c r="G24" s="72" t="n">
        <v>494409.36</v>
      </c>
      <c r="H24" s="72" t="n">
        <v>517045.75</v>
      </c>
      <c r="I24" s="72" t="n">
        <v>530858.05</v>
      </c>
      <c r="J24" s="73" t="n">
        <v>514420.2582618899</v>
      </c>
      <c r="K24" s="73" t="n">
        <v>546837.4043681584</v>
      </c>
      <c r="L24" s="73" t="n">
        <v>545498.3332146928</v>
      </c>
      <c r="M24" s="73" t="n">
        <v>544164.2976697327</v>
      </c>
      <c r="N24" s="73" t="n">
        <v>542835.2787482892</v>
      </c>
      <c r="O24" s="73" t="n">
        <v>541511.2575371295</v>
      </c>
      <c r="P24" s="74">
        <f>SUM(D24:O24)</f>
        <v/>
      </c>
    </row>
    <row r="25" ht="14" customHeight="1">
      <c r="B25" s="75" t="inlineStr">
        <is>
          <t>Services COGS</t>
        </is>
      </c>
      <c r="C25" s="19" t="inlineStr"/>
      <c r="D25" s="72" t="n">
        <v>62478.79</v>
      </c>
      <c r="E25" s="72" t="n">
        <v>62470.16</v>
      </c>
      <c r="F25" s="72" t="n">
        <v>69930.95</v>
      </c>
      <c r="G25" s="72" t="n">
        <v>69856.84</v>
      </c>
      <c r="H25" s="72" t="n">
        <v>69917.02</v>
      </c>
      <c r="I25" s="72" t="n">
        <v>69650.3</v>
      </c>
      <c r="J25" s="73" t="n">
        <v>69945.52403834781</v>
      </c>
      <c r="K25" s="73" t="n">
        <v>69747.20352492359</v>
      </c>
      <c r="L25" s="73" t="n">
        <v>69549.51196595903</v>
      </c>
      <c r="M25" s="73" t="n">
        <v>69352.44736678548</v>
      </c>
      <c r="N25" s="73" t="n">
        <v>69156.00773906018</v>
      </c>
      <c r="O25" s="73" t="n">
        <v>68960.19110074619</v>
      </c>
      <c r="P25" s="74">
        <f>SUM(D25:O25)</f>
        <v/>
      </c>
    </row>
    <row r="26" ht="14" customHeight="1">
      <c r="B26" s="77" t="inlineStr">
        <is>
          <t>Total COGS</t>
        </is>
      </c>
      <c r="C26" s="31" t="inlineStr"/>
      <c r="D26" s="78">
        <f>D24+D25</f>
        <v/>
      </c>
      <c r="E26" s="78">
        <f>E24+E25</f>
        <v/>
      </c>
      <c r="F26" s="78">
        <f>F24+F25</f>
        <v/>
      </c>
      <c r="G26" s="78">
        <f>G24+G25</f>
        <v/>
      </c>
      <c r="H26" s="78">
        <f>H24+H25</f>
        <v/>
      </c>
      <c r="I26" s="78">
        <f>I24+I25</f>
        <v/>
      </c>
      <c r="J26" s="79">
        <f>J24+J25</f>
        <v/>
      </c>
      <c r="K26" s="79">
        <f>K24+K25</f>
        <v/>
      </c>
      <c r="L26" s="79">
        <f>L24+L25</f>
        <v/>
      </c>
      <c r="M26" s="79">
        <f>M24+M25</f>
        <v/>
      </c>
      <c r="N26" s="79">
        <f>N24+N25</f>
        <v/>
      </c>
      <c r="O26" s="79">
        <f>O24+O25</f>
        <v/>
      </c>
      <c r="P26" s="80">
        <f>SUM(D26:O26)</f>
        <v/>
      </c>
    </row>
    <row r="27" ht="14" customHeight="1">
      <c r="B27" s="77" t="inlineStr">
        <is>
          <t>Gross Profit</t>
        </is>
      </c>
      <c r="C27" s="31" t="inlineStr"/>
      <c r="D27" s="78">
        <f>D23-D26</f>
        <v/>
      </c>
      <c r="E27" s="78">
        <f>E23-E26</f>
        <v/>
      </c>
      <c r="F27" s="78">
        <f>F23-F26</f>
        <v/>
      </c>
      <c r="G27" s="78">
        <f>G23-G26</f>
        <v/>
      </c>
      <c r="H27" s="78">
        <f>H23-H26</f>
        <v/>
      </c>
      <c r="I27" s="78">
        <f>I23-I26</f>
        <v/>
      </c>
      <c r="J27" s="79">
        <f>J23-J26</f>
        <v/>
      </c>
      <c r="K27" s="79">
        <f>K23-K26</f>
        <v/>
      </c>
      <c r="L27" s="79">
        <f>L23-L26</f>
        <v/>
      </c>
      <c r="M27" s="79">
        <f>M23-M26</f>
        <v/>
      </c>
      <c r="N27" s="79">
        <f>N23-N26</f>
        <v/>
      </c>
      <c r="O27" s="79">
        <f>O23-O26</f>
        <v/>
      </c>
      <c r="P27" s="80">
        <f>SUM(D27:O27)</f>
        <v/>
      </c>
    </row>
    <row r="28" ht="14" customHeight="1">
      <c r="B28" s="19" t="inlineStr">
        <is>
          <t>Gross Margin %</t>
        </is>
      </c>
      <c r="C28" s="19" t="inlineStr"/>
      <c r="D28" s="25">
        <f>D27/D23</f>
        <v/>
      </c>
      <c r="E28" s="25">
        <f>E27/E23</f>
        <v/>
      </c>
      <c r="F28" s="25">
        <f>F27/F23</f>
        <v/>
      </c>
      <c r="G28" s="25">
        <f>G27/G23</f>
        <v/>
      </c>
      <c r="H28" s="25">
        <f>H27/H23</f>
        <v/>
      </c>
      <c r="I28" s="25">
        <f>I27/I23</f>
        <v/>
      </c>
      <c r="J28" s="81">
        <f>J27/J23</f>
        <v/>
      </c>
      <c r="K28" s="81">
        <f>K27/K23</f>
        <v/>
      </c>
      <c r="L28" s="81">
        <f>L27/L23</f>
        <v/>
      </c>
      <c r="M28" s="81">
        <f>M27/M23</f>
        <v/>
      </c>
      <c r="N28" s="81">
        <f>N27/N23</f>
        <v/>
      </c>
      <c r="O28" s="81">
        <f>O27/O23</f>
        <v/>
      </c>
      <c r="P28" s="53">
        <f>P27/P23</f>
        <v/>
      </c>
    </row>
    <row r="29" ht="14" customHeight="1">
      <c r="B29" s="75" t="inlineStr">
        <is>
          <t>Sales &amp; Marketing</t>
        </is>
      </c>
      <c r="C29" s="19" t="inlineStr"/>
      <c r="D29" s="72" t="n">
        <v>1092738.15</v>
      </c>
      <c r="E29" s="72" t="n">
        <v>1111024.78</v>
      </c>
      <c r="F29" s="72" t="n">
        <v>1203029.25</v>
      </c>
      <c r="G29" s="72" t="n">
        <v>1324853.52</v>
      </c>
      <c r="H29" s="72" t="n">
        <v>1271678.48</v>
      </c>
      <c r="I29" s="72" t="n">
        <v>1288126.25</v>
      </c>
      <c r="J29" s="73" t="n">
        <v>1289582.045919904</v>
      </c>
      <c r="K29" s="73" t="n">
        <v>1365906.254401841</v>
      </c>
      <c r="L29" s="73" t="n">
        <v>1359187.806351908</v>
      </c>
      <c r="M29" s="73" t="n">
        <v>1355049.286503499</v>
      </c>
      <c r="N29" s="73" t="n">
        <v>1363430.276209538</v>
      </c>
      <c r="O29" s="73" t="n">
        <v>1359313.961975772</v>
      </c>
      <c r="P29" s="74">
        <f>SUM(D29:O29)</f>
        <v/>
      </c>
    </row>
    <row r="30" ht="14" customHeight="1">
      <c r="B30" s="75" t="inlineStr">
        <is>
          <t>Research &amp; Development</t>
        </is>
      </c>
      <c r="C30" s="19" t="inlineStr"/>
      <c r="D30" s="72" t="n">
        <v>804145.12</v>
      </c>
      <c r="E30" s="72" t="n">
        <v>810796.51</v>
      </c>
      <c r="F30" s="72" t="n">
        <v>822096.85</v>
      </c>
      <c r="G30" s="72" t="n">
        <v>817844.1800000001</v>
      </c>
      <c r="H30" s="72" t="n">
        <v>829779.86</v>
      </c>
      <c r="I30" s="72" t="n">
        <v>827519.54</v>
      </c>
      <c r="J30" s="73" t="n">
        <v>828190.127851789</v>
      </c>
      <c r="K30" s="73" t="n">
        <v>867863.9396975443</v>
      </c>
      <c r="L30" s="73" t="n">
        <v>865877.979380482</v>
      </c>
      <c r="M30" s="73" t="n">
        <v>863896.927028125</v>
      </c>
      <c r="N30" s="73" t="n">
        <v>861920.7704965108</v>
      </c>
      <c r="O30" s="73" t="n">
        <v>859949.4976717624</v>
      </c>
      <c r="P30" s="74">
        <f>SUM(D30:O30)</f>
        <v/>
      </c>
    </row>
    <row r="31" ht="14" customHeight="1">
      <c r="B31" s="75" t="inlineStr">
        <is>
          <t>General &amp; Administrative</t>
        </is>
      </c>
      <c r="C31" s="19" t="inlineStr"/>
      <c r="D31" s="72" t="n">
        <v>432213.05</v>
      </c>
      <c r="E31" s="72" t="n">
        <v>462393.86</v>
      </c>
      <c r="F31" s="72" t="n">
        <v>599754.12</v>
      </c>
      <c r="G31" s="72" t="n">
        <v>554504.04</v>
      </c>
      <c r="H31" s="72" t="n">
        <v>470615.8</v>
      </c>
      <c r="I31" s="72" t="n">
        <v>453032.6</v>
      </c>
      <c r="J31" s="73" t="n">
        <v>488539.5056184126</v>
      </c>
      <c r="K31" s="73" t="n">
        <v>501973.1725536512</v>
      </c>
      <c r="L31" s="73" t="n">
        <v>501345.9893252614</v>
      </c>
      <c r="M31" s="73" t="n">
        <v>500720.0851661434</v>
      </c>
      <c r="N31" s="73" t="n">
        <v>500095.4574677799</v>
      </c>
      <c r="O31" s="73" t="n">
        <v>499472.1036269736</v>
      </c>
      <c r="P31" s="74">
        <f>SUM(D31:O31)</f>
        <v/>
      </c>
    </row>
    <row r="32" ht="14" customHeight="1">
      <c r="B32" s="77" t="inlineStr">
        <is>
          <t>Total OpEx</t>
        </is>
      </c>
      <c r="C32" s="31" t="inlineStr"/>
      <c r="D32" s="78">
        <f>D29+D30+D31</f>
        <v/>
      </c>
      <c r="E32" s="78">
        <f>E29+E30+E31</f>
        <v/>
      </c>
      <c r="F32" s="78">
        <f>F29+F30+F31</f>
        <v/>
      </c>
      <c r="G32" s="78">
        <f>G29+G30+G31</f>
        <v/>
      </c>
      <c r="H32" s="78">
        <f>H29+H30+H31</f>
        <v/>
      </c>
      <c r="I32" s="78">
        <f>I29+I30+I31</f>
        <v/>
      </c>
      <c r="J32" s="79">
        <f>J29+J30+J31</f>
        <v/>
      </c>
      <c r="K32" s="79">
        <f>K29+K30+K31</f>
        <v/>
      </c>
      <c r="L32" s="79">
        <f>L29+L30+L31</f>
        <v/>
      </c>
      <c r="M32" s="79">
        <f>M29+M30+M31</f>
        <v/>
      </c>
      <c r="N32" s="79">
        <f>N29+N30+N31</f>
        <v/>
      </c>
      <c r="O32" s="79">
        <f>O29+O30+O31</f>
        <v/>
      </c>
      <c r="P32" s="80">
        <f>SUM(D32:O32)</f>
        <v/>
      </c>
    </row>
    <row r="33" ht="14" customHeight="1">
      <c r="B33" s="77" t="inlineStr">
        <is>
          <t>Operating Income / (Loss)</t>
        </is>
      </c>
      <c r="C33" s="31" t="inlineStr"/>
      <c r="D33" s="78">
        <f>D27-D32</f>
        <v/>
      </c>
      <c r="E33" s="78">
        <f>E27-E32</f>
        <v/>
      </c>
      <c r="F33" s="78">
        <f>F27-F32</f>
        <v/>
      </c>
      <c r="G33" s="78">
        <f>G27-G32</f>
        <v/>
      </c>
      <c r="H33" s="78">
        <f>H27-H32</f>
        <v/>
      </c>
      <c r="I33" s="78">
        <f>I27-I32</f>
        <v/>
      </c>
      <c r="J33" s="79">
        <f>J27-J32</f>
        <v/>
      </c>
      <c r="K33" s="79">
        <f>K27-K32</f>
        <v/>
      </c>
      <c r="L33" s="79">
        <f>L27-L32</f>
        <v/>
      </c>
      <c r="M33" s="79">
        <f>M27-M32</f>
        <v/>
      </c>
      <c r="N33" s="79">
        <f>N27-N32</f>
        <v/>
      </c>
      <c r="O33" s="79">
        <f>O27-O32</f>
        <v/>
      </c>
      <c r="P33" s="80">
        <f>SUM(D33:O33)</f>
        <v/>
      </c>
    </row>
    <row r="34" ht="14" customHeight="1">
      <c r="B34" s="19" t="inlineStr">
        <is>
          <t>Operating Margin %</t>
        </is>
      </c>
      <c r="C34" s="19" t="inlineStr"/>
      <c r="D34" s="25">
        <f>D33/D23</f>
        <v/>
      </c>
      <c r="E34" s="25">
        <f>E33/E23</f>
        <v/>
      </c>
      <c r="F34" s="25">
        <f>F33/F23</f>
        <v/>
      </c>
      <c r="G34" s="25">
        <f>G33/G23</f>
        <v/>
      </c>
      <c r="H34" s="25">
        <f>H33/H23</f>
        <v/>
      </c>
      <c r="I34" s="25">
        <f>I33/I23</f>
        <v/>
      </c>
      <c r="J34" s="81">
        <f>J33/J23</f>
        <v/>
      </c>
      <c r="K34" s="81">
        <f>K33/K23</f>
        <v/>
      </c>
      <c r="L34" s="81">
        <f>L33/L23</f>
        <v/>
      </c>
      <c r="M34" s="81">
        <f>M33/M23</f>
        <v/>
      </c>
      <c r="N34" s="81">
        <f>N33/N23</f>
        <v/>
      </c>
      <c r="O34" s="81">
        <f>O33/O23</f>
        <v/>
      </c>
      <c r="P34" s="53">
        <f>P33/P23</f>
        <v/>
      </c>
    </row>
    <row r="35" ht="6.5" customHeight="1"/>
    <row r="36" ht="14" customHeight="1">
      <c r="B36" s="70" t="inlineStr">
        <is>
          <t>Headcount</t>
        </is>
      </c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</row>
    <row r="37" ht="14" customHeight="1">
      <c r="B37" s="19" t="inlineStr">
        <is>
          <t>Ending Headcount</t>
        </is>
      </c>
      <c r="C37" s="19" t="inlineStr"/>
      <c r="D37" s="28" t="n">
        <v>199</v>
      </c>
      <c r="E37" s="28" t="n">
        <v>200</v>
      </c>
      <c r="F37" s="28" t="n">
        <v>202</v>
      </c>
      <c r="G37" s="28" t="n">
        <v>204</v>
      </c>
      <c r="H37" s="28" t="n">
        <v>206</v>
      </c>
      <c r="I37" s="28" t="n">
        <v>206</v>
      </c>
      <c r="J37" s="82" t="n">
        <v>205.3105594154678</v>
      </c>
      <c r="K37" s="82" t="n">
        <v>220.6236377501991</v>
      </c>
      <c r="L37" s="82" t="n">
        <v>219.8792436021427</v>
      </c>
      <c r="M37" s="82" t="n">
        <v>219.1375910568909</v>
      </c>
      <c r="N37" s="82" t="n">
        <v>218.3986692422937</v>
      </c>
      <c r="O37" s="82" t="n">
        <v>217.6624673318395</v>
      </c>
      <c r="P37" s="83">
        <f>O37</f>
        <v/>
      </c>
    </row>
    <row r="38" ht="6.5" customHeight="1"/>
    <row r="39" ht="12.5" customHeight="1">
      <c r="B39" s="16" t="inlineStr">
        <is>
          <t>FY2027 is a forward runway projection and is deliberately not shown here -- it is not part of the FY2026 reforecast. See the Scenarios and Runway &amp; Hiring tabs.</t>
        </is>
      </c>
    </row>
    <row r="40" ht="12.5" customHeight="1">
      <c r="B40" s="3" t="inlineStr">
        <is>
          <t>Source: fct_arr_forecast, fct_pnl_reforecast, fct_headcount_forecast, path Base (Phase 6). Detail lines are mart values; subtotals, margins and the FY2026 column are Excel formulas over them.</t>
        </is>
      </c>
    </row>
    <row r="41" ht="6.5" customHeight="1"/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46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4" customHeight="1"/>
  <cols>
    <col width="1.8" customWidth="1" min="1" max="1"/>
    <col width="34" customWidth="1" min="2" max="2"/>
    <col width="15" customWidth="1" min="3" max="3"/>
    <col width="15" customWidth="1" min="4" max="4"/>
    <col width="17" customWidth="1" min="5" max="5"/>
    <col width="15" customWidth="1" min="6" max="6"/>
    <col width="15" customWidth="1" min="7" max="7"/>
    <col width="15" customWidth="1" min="8" max="8"/>
    <col width="11" customWidth="1" min="9" max="9"/>
    <col width="13" customWidth="1" min="10" max="10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 -- management profit and loss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7" customHeight="1">
      <c r="B7" s="5" t="inlineStr">
        <is>
          <t>FY2026 management P&amp;L -- Board Budget vs Base reforecast</t>
        </is>
      </c>
      <c r="C7" s="6" t="n"/>
      <c r="D7" s="6" t="n"/>
      <c r="E7" s="6" t="n"/>
      <c r="F7" s="6" t="n"/>
      <c r="G7" s="6" t="n"/>
      <c r="H7" s="6" t="n"/>
      <c r="I7" s="6" t="n"/>
      <c r="J7" s="6" t="n"/>
    </row>
    <row r="8" ht="12.5" customHeight="1">
      <c r="B8" s="16" t="inlineStr">
        <is>
          <t>Variance is Base less Budget. Favourable / unfavourable is derived from the Phase 7 centralised metric polarity, so a cost under-run reads favourable and a revenue shortfall reads unfavourable without either being asserted here.</t>
        </is>
      </c>
    </row>
    <row r="9" ht="6.5" customHeight="1"/>
    <row r="10" ht="25" customHeight="1">
      <c r="B10" s="17" t="inlineStr">
        <is>
          <t>$000 unless stated</t>
        </is>
      </c>
      <c r="C10" s="18" t="inlineStr">
        <is>
          <t>FY2025 actual</t>
        </is>
      </c>
      <c r="D10" s="18" t="inlineStr">
        <is>
          <t>H1 2026 actual</t>
        </is>
      </c>
      <c r="E10" s="18" t="inlineStr">
        <is>
          <t>H2 2026 Base</t>
        </is>
      </c>
      <c r="F10" s="18" t="inlineStr">
        <is>
          <t>FY2026 Base</t>
        </is>
      </c>
      <c r="G10" s="18" t="inlineStr">
        <is>
          <t>FY2026 Budget</t>
        </is>
      </c>
      <c r="H10" s="84" t="inlineStr">
        <is>
          <t>Variance</t>
        </is>
      </c>
      <c r="I10" s="84" t="inlineStr">
        <is>
          <t>Var %</t>
        </is>
      </c>
      <c r="J10" s="84" t="inlineStr">
        <is>
          <t>F / U</t>
        </is>
      </c>
    </row>
    <row r="11" ht="14" customHeight="1">
      <c r="B11" s="75" t="inlineStr">
        <is>
          <t>Subscription Revenue</t>
        </is>
      </c>
      <c r="C11" s="72">
        <f>_xlfn.XLOOKUP("Subscription Revenue",tbl_pnl_summary[line_item],tbl_pnl_summary[fy2025_actual])</f>
        <v/>
      </c>
      <c r="D11" s="72">
        <f>_xlfn.XLOOKUP("Subscription Revenue",tbl_pnl_summary[line_item],tbl_pnl_summary[h1_2026_actual])</f>
        <v/>
      </c>
      <c r="E11" s="72">
        <f>_xlfn.XLOOKUP("Subscription Revenue",tbl_pnl_summary[line_item],tbl_pnl_summary[h2_2026_base])</f>
        <v/>
      </c>
      <c r="F11" s="72">
        <f>_xlfn.XLOOKUP("Subscription Revenue",tbl_pnl_summary[line_item],tbl_pnl_summary[fy2026_base])</f>
        <v/>
      </c>
      <c r="G11" s="72">
        <f>_xlfn.XLOOKUP("Subscription Revenue",tbl_pnl_summary[line_item],tbl_pnl_summary[fy2026_budget])</f>
        <v/>
      </c>
      <c r="H11" s="85">
        <f>F11-G11</f>
        <v/>
      </c>
      <c r="I11" s="23">
        <f>IF(G11=0,"",F11/G11-1)</f>
        <v/>
      </c>
      <c r="J11" s="24">
        <f>IF(_xlfn.XLOOKUP($B$11,tbl_pnl_summary[line_item],tbl_pnl_summary[polarity])="contextual","n/a",IF(H11=0,"-",IF((_xlfn.XLOOKUP($B$11,tbl_pnl_summary[line_item],tbl_pnl_summary[polarity])="higher_favorable")=(H11&gt;0),"Favorable","Unfavorable")))</f>
        <v/>
      </c>
    </row>
    <row r="12" ht="14" customHeight="1">
      <c r="B12" s="75" t="inlineStr">
        <is>
          <t>Services Revenue</t>
        </is>
      </c>
      <c r="C12" s="72">
        <f>_xlfn.XLOOKUP("Services Revenue",tbl_pnl_summary[line_item],tbl_pnl_summary[fy2025_actual])</f>
        <v/>
      </c>
      <c r="D12" s="72">
        <f>_xlfn.XLOOKUP("Services Revenue",tbl_pnl_summary[line_item],tbl_pnl_summary[h1_2026_actual])</f>
        <v/>
      </c>
      <c r="E12" s="72">
        <f>_xlfn.XLOOKUP("Services Revenue",tbl_pnl_summary[line_item],tbl_pnl_summary[h2_2026_base])</f>
        <v/>
      </c>
      <c r="F12" s="72">
        <f>_xlfn.XLOOKUP("Services Revenue",tbl_pnl_summary[line_item],tbl_pnl_summary[fy2026_base])</f>
        <v/>
      </c>
      <c r="G12" s="72">
        <f>_xlfn.XLOOKUP("Services Revenue",tbl_pnl_summary[line_item],tbl_pnl_summary[fy2026_budget])</f>
        <v/>
      </c>
      <c r="H12" s="85">
        <f>F12-G12</f>
        <v/>
      </c>
      <c r="I12" s="23">
        <f>IF(G12=0,"",F12/G12-1)</f>
        <v/>
      </c>
      <c r="J12" s="24">
        <f>IF(_xlfn.XLOOKUP($B$12,tbl_pnl_summary[line_item],tbl_pnl_summary[polarity])="contextual","n/a",IF(H12=0,"-",IF((_xlfn.XLOOKUP($B$12,tbl_pnl_summary[line_item],tbl_pnl_summary[polarity])="higher_favorable")=(H12&gt;0),"Favorable","Unfavorable")))</f>
        <v/>
      </c>
    </row>
    <row r="13" ht="14" customHeight="1">
      <c r="B13" s="77" t="inlineStr">
        <is>
          <t>Total Revenue</t>
        </is>
      </c>
      <c r="C13" s="78">
        <f>_xlfn.XLOOKUP("Total Revenue",tbl_pnl_summary[line_item],tbl_pnl_summary[fy2025_actual])</f>
        <v/>
      </c>
      <c r="D13" s="78">
        <f>_xlfn.XLOOKUP("Total Revenue",tbl_pnl_summary[line_item],tbl_pnl_summary[h1_2026_actual])</f>
        <v/>
      </c>
      <c r="E13" s="78">
        <f>_xlfn.XLOOKUP("Total Revenue",tbl_pnl_summary[line_item],tbl_pnl_summary[h2_2026_base])</f>
        <v/>
      </c>
      <c r="F13" s="78">
        <f>_xlfn.XLOOKUP("Total Revenue",tbl_pnl_summary[line_item],tbl_pnl_summary[fy2026_base])</f>
        <v/>
      </c>
      <c r="G13" s="78">
        <f>_xlfn.XLOOKUP("Total Revenue",tbl_pnl_summary[line_item],tbl_pnl_summary[fy2026_budget])</f>
        <v/>
      </c>
      <c r="H13" s="86">
        <f>F13-G13</f>
        <v/>
      </c>
      <c r="I13" s="87">
        <f>IF(G13=0,"",F13/G13-1)</f>
        <v/>
      </c>
      <c r="J13" s="88">
        <f>IF(_xlfn.XLOOKUP($B$13,tbl_pnl_summary[line_item],tbl_pnl_summary[polarity])="contextual","n/a",IF(H13=0,"-",IF((_xlfn.XLOOKUP($B$13,tbl_pnl_summary[line_item],tbl_pnl_summary[polarity])="higher_favorable")=(H13&gt;0),"Favorable","Unfavorable")))</f>
        <v/>
      </c>
    </row>
    <row r="14" ht="6.5" customHeight="1"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</row>
    <row r="15" ht="14" customHeight="1">
      <c r="B15" s="75" t="inlineStr">
        <is>
          <t>Subscription COGS</t>
        </is>
      </c>
      <c r="C15" s="72">
        <f>_xlfn.XLOOKUP("Subscription COGS",tbl_pnl_summary[line_item],tbl_pnl_summary[fy2025_actual])</f>
        <v/>
      </c>
      <c r="D15" s="72">
        <f>_xlfn.XLOOKUP("Subscription COGS",tbl_pnl_summary[line_item],tbl_pnl_summary[h1_2026_actual])</f>
        <v/>
      </c>
      <c r="E15" s="72">
        <f>_xlfn.XLOOKUP("Subscription COGS",tbl_pnl_summary[line_item],tbl_pnl_summary[h2_2026_base])</f>
        <v/>
      </c>
      <c r="F15" s="72">
        <f>_xlfn.XLOOKUP("Subscription COGS",tbl_pnl_summary[line_item],tbl_pnl_summary[fy2026_base])</f>
        <v/>
      </c>
      <c r="G15" s="72">
        <f>_xlfn.XLOOKUP("Subscription COGS",tbl_pnl_summary[line_item],tbl_pnl_summary[fy2026_budget])</f>
        <v/>
      </c>
      <c r="H15" s="85">
        <f>F15-G15</f>
        <v/>
      </c>
      <c r="I15" s="23">
        <f>IF(G15=0,"",F15/G15-1)</f>
        <v/>
      </c>
      <c r="J15" s="24">
        <f>IF(_xlfn.XLOOKUP($B$15,tbl_pnl_summary[line_item],tbl_pnl_summary[polarity])="contextual","n/a",IF(H15=0,"-",IF((_xlfn.XLOOKUP($B$15,tbl_pnl_summary[line_item],tbl_pnl_summary[polarity])="higher_favorable")=(H15&gt;0),"Favorable","Unfavorable")))</f>
        <v/>
      </c>
    </row>
    <row r="16" ht="14" customHeight="1">
      <c r="B16" s="75" t="inlineStr">
        <is>
          <t>Services COGS</t>
        </is>
      </c>
      <c r="C16" s="72">
        <f>_xlfn.XLOOKUP("Services COGS",tbl_pnl_summary[line_item],tbl_pnl_summary[fy2025_actual])</f>
        <v/>
      </c>
      <c r="D16" s="72">
        <f>_xlfn.XLOOKUP("Services COGS",tbl_pnl_summary[line_item],tbl_pnl_summary[h1_2026_actual])</f>
        <v/>
      </c>
      <c r="E16" s="72">
        <f>_xlfn.XLOOKUP("Services COGS",tbl_pnl_summary[line_item],tbl_pnl_summary[h2_2026_base])</f>
        <v/>
      </c>
      <c r="F16" s="72">
        <f>_xlfn.XLOOKUP("Services COGS",tbl_pnl_summary[line_item],tbl_pnl_summary[fy2026_base])</f>
        <v/>
      </c>
      <c r="G16" s="72">
        <f>_xlfn.XLOOKUP("Services COGS",tbl_pnl_summary[line_item],tbl_pnl_summary[fy2026_budget])</f>
        <v/>
      </c>
      <c r="H16" s="85">
        <f>F16-G16</f>
        <v/>
      </c>
      <c r="I16" s="23">
        <f>IF(G16=0,"",F16/G16-1)</f>
        <v/>
      </c>
      <c r="J16" s="24">
        <f>IF(_xlfn.XLOOKUP($B$16,tbl_pnl_summary[line_item],tbl_pnl_summary[polarity])="contextual","n/a",IF(H16=0,"-",IF((_xlfn.XLOOKUP($B$16,tbl_pnl_summary[line_item],tbl_pnl_summary[polarity])="higher_favorable")=(H16&gt;0),"Favorable","Unfavorable")))</f>
        <v/>
      </c>
    </row>
    <row r="17" ht="14" customHeight="1">
      <c r="B17" s="77" t="inlineStr">
        <is>
          <t>Total COGS</t>
        </is>
      </c>
      <c r="C17" s="78">
        <f>_xlfn.XLOOKUP("Total COGS",tbl_pnl_summary[line_item],tbl_pnl_summary[fy2025_actual])</f>
        <v/>
      </c>
      <c r="D17" s="78">
        <f>_xlfn.XLOOKUP("Total COGS",tbl_pnl_summary[line_item],tbl_pnl_summary[h1_2026_actual])</f>
        <v/>
      </c>
      <c r="E17" s="78">
        <f>_xlfn.XLOOKUP("Total COGS",tbl_pnl_summary[line_item],tbl_pnl_summary[h2_2026_base])</f>
        <v/>
      </c>
      <c r="F17" s="78">
        <f>_xlfn.XLOOKUP("Total COGS",tbl_pnl_summary[line_item],tbl_pnl_summary[fy2026_base])</f>
        <v/>
      </c>
      <c r="G17" s="78">
        <f>_xlfn.XLOOKUP("Total COGS",tbl_pnl_summary[line_item],tbl_pnl_summary[fy2026_budget])</f>
        <v/>
      </c>
      <c r="H17" s="86">
        <f>F17-G17</f>
        <v/>
      </c>
      <c r="I17" s="87">
        <f>IF(G17=0,"",F17/G17-1)</f>
        <v/>
      </c>
      <c r="J17" s="88">
        <f>IF(_xlfn.XLOOKUP($B$17,tbl_pnl_summary[line_item],tbl_pnl_summary[polarity])="contextual","n/a",IF(H17=0,"-",IF((_xlfn.XLOOKUP($B$17,tbl_pnl_summary[line_item],tbl_pnl_summary[polarity])="higher_favorable")=(H17&gt;0),"Favorable","Unfavorable")))</f>
        <v/>
      </c>
    </row>
    <row r="18" ht="14" customHeight="1">
      <c r="B18" s="89" t="inlineStr">
        <is>
          <t>Gross Profit</t>
        </is>
      </c>
      <c r="C18" s="90">
        <f>_xlfn.XLOOKUP("Gross Profit",tbl_pnl_summary[line_item],tbl_pnl_summary[fy2025_actual])</f>
        <v/>
      </c>
      <c r="D18" s="90">
        <f>_xlfn.XLOOKUP("Gross Profit",tbl_pnl_summary[line_item],tbl_pnl_summary[h1_2026_actual])</f>
        <v/>
      </c>
      <c r="E18" s="90">
        <f>_xlfn.XLOOKUP("Gross Profit",tbl_pnl_summary[line_item],tbl_pnl_summary[h2_2026_base])</f>
        <v/>
      </c>
      <c r="F18" s="90">
        <f>_xlfn.XLOOKUP("Gross Profit",tbl_pnl_summary[line_item],tbl_pnl_summary[fy2026_base])</f>
        <v/>
      </c>
      <c r="G18" s="90">
        <f>_xlfn.XLOOKUP("Gross Profit",tbl_pnl_summary[line_item],tbl_pnl_summary[fy2026_budget])</f>
        <v/>
      </c>
      <c r="H18" s="91">
        <f>F18-G18</f>
        <v/>
      </c>
      <c r="I18" s="92">
        <f>IF(G18=0,"",F18/G18-1)</f>
        <v/>
      </c>
      <c r="J18" s="93">
        <f>IF(_xlfn.XLOOKUP($B$18,tbl_pnl_summary[line_item],tbl_pnl_summary[polarity])="contextual","n/a",IF(H18=0,"-",IF((_xlfn.XLOOKUP($B$18,tbl_pnl_summary[line_item],tbl_pnl_summary[polarity])="higher_favorable")=(H18&gt;0),"Favorable","Unfavorable")))</f>
        <v/>
      </c>
    </row>
    <row r="19" ht="14" customHeight="1">
      <c r="B19" s="19" t="inlineStr">
        <is>
          <t>Gross Margin %</t>
        </is>
      </c>
      <c r="C19" s="25">
        <f>_xlfn.XLOOKUP("Gross Margin %",tbl_pnl_summary[line_item],tbl_pnl_summary[fy2025_actual])</f>
        <v/>
      </c>
      <c r="D19" s="25">
        <f>_xlfn.XLOOKUP("Gross Margin %",tbl_pnl_summary[line_item],tbl_pnl_summary[h1_2026_actual])</f>
        <v/>
      </c>
      <c r="E19" s="25">
        <f>_xlfn.XLOOKUP("Gross Margin %",tbl_pnl_summary[line_item],tbl_pnl_summary[h2_2026_base])</f>
        <v/>
      </c>
      <c r="F19" s="25">
        <f>_xlfn.XLOOKUP("Gross Margin %",tbl_pnl_summary[line_item],tbl_pnl_summary[fy2026_base])</f>
        <v/>
      </c>
      <c r="G19" s="25">
        <f>_xlfn.XLOOKUP("Gross Margin %",tbl_pnl_summary[line_item],tbl_pnl_summary[fy2026_budget])</f>
        <v/>
      </c>
      <c r="H19" s="94">
        <f>(F19-G19)*10000</f>
        <v/>
      </c>
      <c r="I19" s="27" t="inlineStr">
        <is>
          <t>n/m</t>
        </is>
      </c>
      <c r="J19" s="24">
        <f>IF(_xlfn.XLOOKUP($B$19,tbl_pnl_summary[line_item],tbl_pnl_summary[polarity])="contextual","n/a",IF(H19=0,"-",IF((_xlfn.XLOOKUP($B$19,tbl_pnl_summary[line_item],tbl_pnl_summary[polarity])="higher_favorable")=(H19&gt;0),"Favorable","Unfavorable")))</f>
        <v/>
      </c>
    </row>
    <row r="20" ht="6.5" customHeight="1"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</row>
    <row r="21" ht="14" customHeight="1">
      <c r="B21" s="75" t="inlineStr">
        <is>
          <t>Sales &amp; Marketing</t>
        </is>
      </c>
      <c r="C21" s="72">
        <f>_xlfn.XLOOKUP("Sales &amp; Marketing",tbl_pnl_summary[line_item],tbl_pnl_summary[fy2025_actual])</f>
        <v/>
      </c>
      <c r="D21" s="72">
        <f>_xlfn.XLOOKUP("Sales &amp; Marketing",tbl_pnl_summary[line_item],tbl_pnl_summary[h1_2026_actual])</f>
        <v/>
      </c>
      <c r="E21" s="72">
        <f>_xlfn.XLOOKUP("Sales &amp; Marketing",tbl_pnl_summary[line_item],tbl_pnl_summary[h2_2026_base])</f>
        <v/>
      </c>
      <c r="F21" s="72">
        <f>_xlfn.XLOOKUP("Sales &amp; Marketing",tbl_pnl_summary[line_item],tbl_pnl_summary[fy2026_base])</f>
        <v/>
      </c>
      <c r="G21" s="72">
        <f>_xlfn.XLOOKUP("Sales &amp; Marketing",tbl_pnl_summary[line_item],tbl_pnl_summary[fy2026_budget])</f>
        <v/>
      </c>
      <c r="H21" s="85">
        <f>F21-G21</f>
        <v/>
      </c>
      <c r="I21" s="23">
        <f>IF(G21=0,"",F21/G21-1)</f>
        <v/>
      </c>
      <c r="J21" s="24">
        <f>IF(_xlfn.XLOOKUP($B$21,tbl_pnl_summary[line_item],tbl_pnl_summary[polarity])="contextual","n/a",IF(H21=0,"-",IF((_xlfn.XLOOKUP($B$21,tbl_pnl_summary[line_item],tbl_pnl_summary[polarity])="higher_favorable")=(H21&gt;0),"Favorable","Unfavorable")))</f>
        <v/>
      </c>
    </row>
    <row r="22" ht="14" customHeight="1">
      <c r="B22" s="75" t="inlineStr">
        <is>
          <t>Research &amp; Development</t>
        </is>
      </c>
      <c r="C22" s="72">
        <f>_xlfn.XLOOKUP("Research &amp; Development",tbl_pnl_summary[line_item],tbl_pnl_summary[fy2025_actual])</f>
        <v/>
      </c>
      <c r="D22" s="72">
        <f>_xlfn.XLOOKUP("Research &amp; Development",tbl_pnl_summary[line_item],tbl_pnl_summary[h1_2026_actual])</f>
        <v/>
      </c>
      <c r="E22" s="72">
        <f>_xlfn.XLOOKUP("Research &amp; Development",tbl_pnl_summary[line_item],tbl_pnl_summary[h2_2026_base])</f>
        <v/>
      </c>
      <c r="F22" s="72">
        <f>_xlfn.XLOOKUP("Research &amp; Development",tbl_pnl_summary[line_item],tbl_pnl_summary[fy2026_base])</f>
        <v/>
      </c>
      <c r="G22" s="72">
        <f>_xlfn.XLOOKUP("Research &amp; Development",tbl_pnl_summary[line_item],tbl_pnl_summary[fy2026_budget])</f>
        <v/>
      </c>
      <c r="H22" s="85">
        <f>F22-G22</f>
        <v/>
      </c>
      <c r="I22" s="23">
        <f>IF(G22=0,"",F22/G22-1)</f>
        <v/>
      </c>
      <c r="J22" s="24">
        <f>IF(_xlfn.XLOOKUP($B$22,tbl_pnl_summary[line_item],tbl_pnl_summary[polarity])="contextual","n/a",IF(H22=0,"-",IF((_xlfn.XLOOKUP($B$22,tbl_pnl_summary[line_item],tbl_pnl_summary[polarity])="higher_favorable")=(H22&gt;0),"Favorable","Unfavorable")))</f>
        <v/>
      </c>
    </row>
    <row r="23" ht="14" customHeight="1">
      <c r="B23" s="75" t="inlineStr">
        <is>
          <t>General &amp; Administrative</t>
        </is>
      </c>
      <c r="C23" s="72">
        <f>_xlfn.XLOOKUP("General &amp; Administrative",tbl_pnl_summary[line_item],tbl_pnl_summary[fy2025_actual])</f>
        <v/>
      </c>
      <c r="D23" s="72">
        <f>_xlfn.XLOOKUP("General &amp; Administrative",tbl_pnl_summary[line_item],tbl_pnl_summary[h1_2026_actual])</f>
        <v/>
      </c>
      <c r="E23" s="72">
        <f>_xlfn.XLOOKUP("General &amp; Administrative",tbl_pnl_summary[line_item],tbl_pnl_summary[h2_2026_base])</f>
        <v/>
      </c>
      <c r="F23" s="72">
        <f>_xlfn.XLOOKUP("General &amp; Administrative",tbl_pnl_summary[line_item],tbl_pnl_summary[fy2026_base])</f>
        <v/>
      </c>
      <c r="G23" s="72">
        <f>_xlfn.XLOOKUP("General &amp; Administrative",tbl_pnl_summary[line_item],tbl_pnl_summary[fy2026_budget])</f>
        <v/>
      </c>
      <c r="H23" s="85">
        <f>F23-G23</f>
        <v/>
      </c>
      <c r="I23" s="23">
        <f>IF(G23=0,"",F23/G23-1)</f>
        <v/>
      </c>
      <c r="J23" s="24">
        <f>IF(_xlfn.XLOOKUP($B$23,tbl_pnl_summary[line_item],tbl_pnl_summary[polarity])="contextual","n/a",IF(H23=0,"-",IF((_xlfn.XLOOKUP($B$23,tbl_pnl_summary[line_item],tbl_pnl_summary[polarity])="higher_favorable")=(H23&gt;0),"Favorable","Unfavorable")))</f>
        <v/>
      </c>
    </row>
    <row r="24" ht="14" customHeight="1">
      <c r="B24" s="77" t="inlineStr">
        <is>
          <t>Total OpEx</t>
        </is>
      </c>
      <c r="C24" s="78">
        <f>_xlfn.XLOOKUP("Total OpEx",tbl_pnl_summary[line_item],tbl_pnl_summary[fy2025_actual])</f>
        <v/>
      </c>
      <c r="D24" s="78">
        <f>_xlfn.XLOOKUP("Total OpEx",tbl_pnl_summary[line_item],tbl_pnl_summary[h1_2026_actual])</f>
        <v/>
      </c>
      <c r="E24" s="78">
        <f>_xlfn.XLOOKUP("Total OpEx",tbl_pnl_summary[line_item],tbl_pnl_summary[h2_2026_base])</f>
        <v/>
      </c>
      <c r="F24" s="78">
        <f>_xlfn.XLOOKUP("Total OpEx",tbl_pnl_summary[line_item],tbl_pnl_summary[fy2026_base])</f>
        <v/>
      </c>
      <c r="G24" s="78">
        <f>_xlfn.XLOOKUP("Total OpEx",tbl_pnl_summary[line_item],tbl_pnl_summary[fy2026_budget])</f>
        <v/>
      </c>
      <c r="H24" s="86">
        <f>F24-G24</f>
        <v/>
      </c>
      <c r="I24" s="87">
        <f>IF(G24=0,"",F24/G24-1)</f>
        <v/>
      </c>
      <c r="J24" s="88">
        <f>IF(_xlfn.XLOOKUP($B$24,tbl_pnl_summary[line_item],tbl_pnl_summary[polarity])="contextual","n/a",IF(H24=0,"-",IF((_xlfn.XLOOKUP($B$24,tbl_pnl_summary[line_item],tbl_pnl_summary[polarity])="higher_favorable")=(H24&gt;0),"Favorable","Unfavorable")))</f>
        <v/>
      </c>
    </row>
    <row r="25" ht="6.5" customHeight="1"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</row>
    <row r="26" ht="14" customHeight="1">
      <c r="B26" s="89" t="inlineStr">
        <is>
          <t>Operating Income / (Loss)</t>
        </is>
      </c>
      <c r="C26" s="90">
        <f>_xlfn.XLOOKUP("Operating Income / (Loss)",tbl_pnl_summary[line_item],tbl_pnl_summary[fy2025_actual])</f>
        <v/>
      </c>
      <c r="D26" s="90">
        <f>_xlfn.XLOOKUP("Operating Income / (Loss)",tbl_pnl_summary[line_item],tbl_pnl_summary[h1_2026_actual])</f>
        <v/>
      </c>
      <c r="E26" s="90">
        <f>_xlfn.XLOOKUP("Operating Income / (Loss)",tbl_pnl_summary[line_item],tbl_pnl_summary[h2_2026_base])</f>
        <v/>
      </c>
      <c r="F26" s="90">
        <f>_xlfn.XLOOKUP("Operating Income / (Loss)",tbl_pnl_summary[line_item],tbl_pnl_summary[fy2026_base])</f>
        <v/>
      </c>
      <c r="G26" s="90">
        <f>_xlfn.XLOOKUP("Operating Income / (Loss)",tbl_pnl_summary[line_item],tbl_pnl_summary[fy2026_budget])</f>
        <v/>
      </c>
      <c r="H26" s="91">
        <f>F26-G26</f>
        <v/>
      </c>
      <c r="I26" s="92">
        <f>IF(G26=0,"",F26/G26-1)</f>
        <v/>
      </c>
      <c r="J26" s="93">
        <f>IF(_xlfn.XLOOKUP($B$26,tbl_pnl_summary[line_item],tbl_pnl_summary[polarity])="contextual","n/a",IF(H26=0,"-",IF((_xlfn.XLOOKUP($B$26,tbl_pnl_summary[line_item],tbl_pnl_summary[polarity])="higher_favorable")=(H26&gt;0),"Favorable","Unfavorable")))</f>
        <v/>
      </c>
    </row>
    <row r="27" ht="14" customHeight="1">
      <c r="B27" s="19" t="inlineStr">
        <is>
          <t>Operating Margin %</t>
        </is>
      </c>
      <c r="C27" s="25">
        <f>_xlfn.XLOOKUP("Operating Margin %",tbl_pnl_summary[line_item],tbl_pnl_summary[fy2025_actual])</f>
        <v/>
      </c>
      <c r="D27" s="25">
        <f>_xlfn.XLOOKUP("Operating Margin %",tbl_pnl_summary[line_item],tbl_pnl_summary[h1_2026_actual])</f>
        <v/>
      </c>
      <c r="E27" s="25">
        <f>_xlfn.XLOOKUP("Operating Margin %",tbl_pnl_summary[line_item],tbl_pnl_summary[h2_2026_base])</f>
        <v/>
      </c>
      <c r="F27" s="25">
        <f>_xlfn.XLOOKUP("Operating Margin %",tbl_pnl_summary[line_item],tbl_pnl_summary[fy2026_base])</f>
        <v/>
      </c>
      <c r="G27" s="25">
        <f>_xlfn.XLOOKUP("Operating Margin %",tbl_pnl_summary[line_item],tbl_pnl_summary[fy2026_budget])</f>
        <v/>
      </c>
      <c r="H27" s="94">
        <f>(F27-G27)*10000</f>
        <v/>
      </c>
      <c r="I27" s="27" t="inlineStr">
        <is>
          <t>n/m</t>
        </is>
      </c>
      <c r="J27" s="24">
        <f>IF(_xlfn.XLOOKUP($B$27,tbl_pnl_summary[line_item],tbl_pnl_summary[polarity])="contextual","n/a",IF(H27=0,"-",IF((_xlfn.XLOOKUP($B$27,tbl_pnl_summary[line_item],tbl_pnl_summary[polarity])="higher_favorable")=(H27&gt;0),"Favorable","Unfavorable")))</f>
        <v/>
      </c>
    </row>
    <row r="28" ht="6.5" customHeight="1"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</row>
    <row r="29" ht="12.5" customHeight="1">
      <c r="B29" s="3" t="inlineStr">
        <is>
          <t>Source: fct_pnl_reforecast, path Base (Phase 6) and int_budget_reforecast_comparison at source GL grain (Phase 7). Budget Gross Profit and Operating Income are the Phase 7 bridge anchors.</t>
        </is>
      </c>
    </row>
    <row r="30" ht="6.5" customHeight="1"/>
    <row r="31" ht="14" customHeight="1"/>
    <row r="32" ht="17" customHeight="1">
      <c r="B32" s="5" t="inlineStr">
        <is>
          <t>Dec-2026 ending headcount by function -- Base reforecast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2.5" customHeight="1">
      <c r="B33" s="16" t="inlineStr">
        <is>
          <t>Budget carries Ending Headcount as one company-level statistical figure with no functional split, so this table has no Budget column. Fabricating one would invent a departmental plan the source does not contain.</t>
        </is>
      </c>
    </row>
    <row r="34" ht="6.5" customHeight="1"/>
    <row r="35" ht="14" customHeight="1">
      <c r="B35" s="17" t="inlineStr">
        <is>
          <t>Function</t>
        </is>
      </c>
      <c r="C35" s="18" t="inlineStr">
        <is>
          <t>Ending headcount</t>
        </is>
      </c>
    </row>
    <row r="36" ht="14" customHeight="1">
      <c r="B36" s="19" t="inlineStr">
        <is>
          <t>Customer Success</t>
        </is>
      </c>
      <c r="C36" s="28" t="n">
        <v>27.36101116252248</v>
      </c>
    </row>
    <row r="37" ht="14" customHeight="1">
      <c r="B37" s="19" t="inlineStr">
        <is>
          <t>Engineering</t>
        </is>
      </c>
      <c r="C37" s="28" t="n">
        <v>54.22212877392457</v>
      </c>
    </row>
    <row r="38" ht="14" customHeight="1">
      <c r="B38" s="19" t="inlineStr">
        <is>
          <t>G&amp;A</t>
        </is>
      </c>
      <c r="C38" s="28" t="n">
        <v>21.73621118041712</v>
      </c>
    </row>
    <row r="39" ht="14" customHeight="1">
      <c r="B39" s="19" t="inlineStr">
        <is>
          <t>Marketing</t>
        </is>
      </c>
      <c r="C39" s="28" t="n">
        <v>18.58465825323012</v>
      </c>
    </row>
    <row r="40" ht="14" customHeight="1">
      <c r="B40" s="19" t="inlineStr">
        <is>
          <t>Product &amp; Design</t>
        </is>
      </c>
      <c r="C40" s="28" t="n">
        <v>22.64817636207164</v>
      </c>
    </row>
    <row r="41" ht="14" customHeight="1">
      <c r="B41" s="19" t="inlineStr">
        <is>
          <t>Professional Services</t>
        </is>
      </c>
      <c r="C41" s="28" t="n">
        <v>7.84897445530306</v>
      </c>
    </row>
    <row r="42" ht="14" customHeight="1">
      <c r="B42" s="19" t="inlineStr">
        <is>
          <t>Sales</t>
        </is>
      </c>
      <c r="C42" s="28" t="n">
        <v>48.60641775022006</v>
      </c>
    </row>
    <row r="43" ht="14" customHeight="1">
      <c r="B43" s="19" t="inlineStr">
        <is>
          <t>Support &amp; Cloud Ops</t>
        </is>
      </c>
      <c r="C43" s="28" t="n">
        <v>16.65488939415045</v>
      </c>
    </row>
    <row r="44" ht="14" customHeight="1">
      <c r="B44" s="44" t="inlineStr">
        <is>
          <t>Total</t>
        </is>
      </c>
      <c r="C44" s="95">
        <f>SUM(C36:C43)</f>
        <v/>
      </c>
    </row>
    <row r="45" ht="14" customHeight="1"/>
    <row r="46" ht="12.5" customHeight="1">
      <c r="B46" s="3" t="inlineStr">
        <is>
          <t>Source: fct_headcount_forecast, path Base (Phase 6).</t>
        </is>
      </c>
    </row>
    <row r="47" ht="6.5" customHeight="1"/>
  </sheetData>
  <conditionalFormatting sqref="H11:I2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J11:J28">
    <cfRule type="cellIs" priority="3" operator="equal" dxfId="2">
      <formula>"Favorable"</formula>
    </cfRule>
    <cfRule type="cellIs" priority="4" operator="equal" dxfId="3">
      <formula>"Unfavorable"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103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4" customHeight="1"/>
  <cols>
    <col width="1.8" customWidth="1" min="1" max="1"/>
    <col width="52" customWidth="1" min="2" max="2"/>
    <col width="17" customWidth="1" min="3" max="3"/>
    <col width="17" customWidth="1" min="4" max="4"/>
    <col width="2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 -- Board Budget to Base reforecast bridges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2.5" customHeight="1">
      <c r="B7" s="16" t="inlineStr">
        <is>
          <t>Running balance is an Excel formula over the mart's own component amounts. The residual line proves the walk closes: it is the mart's stated Base value less the workbook's own running balance, and it must be zero.</t>
        </is>
      </c>
    </row>
    <row r="8" ht="14" customHeight="1"/>
    <row r="9" ht="17" customHeight="1">
      <c r="B9" s="5" t="inlineStr">
        <is>
          <t>Dec-2026 Exit ARR -- Budget to Base</t>
        </is>
      </c>
      <c r="C9" s="6" t="n"/>
      <c r="D9" s="6" t="n"/>
    </row>
    <row r="10" ht="12.5" customHeight="1">
      <c r="B10" s="16" t="inlineStr">
        <is>
          <t>Beginning ARR at 31-Dec-2025 is real, shared actual history and identical on both sides, so the bridge collapses to the five movement variances.</t>
        </is>
      </c>
    </row>
    <row r="11" ht="6.5" customHeight="1"/>
    <row r="12" ht="14" customHeight="1">
      <c r="B12" s="96" t="inlineStr">
        <is>
          <t>Bridge line</t>
        </is>
      </c>
      <c r="C12" s="97" t="inlineStr">
        <is>
          <t>Amount</t>
        </is>
      </c>
      <c r="D12" s="97" t="inlineStr">
        <is>
          <t>Running balance</t>
        </is>
      </c>
    </row>
    <row r="13" ht="14" customHeight="1">
      <c r="B13" s="98" t="inlineStr">
        <is>
          <t>Budget Exit ARR</t>
        </is>
      </c>
      <c r="C13" s="99" t="n">
        <v>37589315.84</v>
      </c>
      <c r="D13" s="100">
        <f>C13</f>
        <v/>
      </c>
    </row>
    <row r="14" ht="14" customHeight="1">
      <c r="B14" s="75" t="inlineStr">
        <is>
          <t>Opening ARR variance (31-Dec-2025 actual, identical both sides)</t>
        </is>
      </c>
      <c r="C14" s="101" t="n">
        <v>0</v>
      </c>
      <c r="D14" s="48">
        <f>D13+C14</f>
        <v/>
      </c>
    </row>
    <row r="15" ht="14" customHeight="1">
      <c r="B15" s="75" t="inlineStr">
        <is>
          <t>New Logo ARR variance</t>
        </is>
      </c>
      <c r="C15" s="101" t="n">
        <v>-2793686.486435552</v>
      </c>
      <c r="D15" s="48">
        <f>D14+C15</f>
        <v/>
      </c>
    </row>
    <row r="16" ht="14" customHeight="1">
      <c r="B16" s="75" t="inlineStr">
        <is>
          <t>Expansion ARR variance</t>
        </is>
      </c>
      <c r="C16" s="101" t="n">
        <v>1538102.552951446</v>
      </c>
      <c r="D16" s="48">
        <f>D15+C16</f>
        <v/>
      </c>
    </row>
    <row r="17" ht="14" customHeight="1">
      <c r="B17" s="75" t="inlineStr">
        <is>
          <t>Reactivation ARR variance</t>
        </is>
      </c>
      <c r="C17" s="101" t="n">
        <v>-88950.32000000004</v>
      </c>
      <c r="D17" s="48">
        <f>D16+C17</f>
        <v/>
      </c>
    </row>
    <row r="18" ht="14" customHeight="1">
      <c r="B18" s="75" t="inlineStr">
        <is>
          <t>Contraction ARR variance</t>
        </is>
      </c>
      <c r="C18" s="101" t="n">
        <v>-1219395.314399192</v>
      </c>
      <c r="D18" s="48">
        <f>D17+C18</f>
        <v/>
      </c>
    </row>
    <row r="19" ht="14" customHeight="1">
      <c r="B19" s="75" t="inlineStr">
        <is>
          <t>Churn ARR variance</t>
        </is>
      </c>
      <c r="C19" s="101" t="n">
        <v>-208969.707319044</v>
      </c>
      <c r="D19" s="48">
        <f>D18+C19</f>
        <v/>
      </c>
    </row>
    <row r="20" ht="14" customHeight="1">
      <c r="B20" s="98" t="inlineStr">
        <is>
          <t>Base Reforecast Exit ARR</t>
        </is>
      </c>
      <c r="C20" s="99" t="n">
        <v>34816416.56479766</v>
      </c>
      <c r="D20" s="102" t="inlineStr"/>
    </row>
    <row r="21" ht="14" customHeight="1">
      <c r="B21" s="45" t="inlineStr">
        <is>
          <t>Residual (must be zero)</t>
        </is>
      </c>
      <c r="C21" s="31" t="inlineStr"/>
      <c r="D21" s="103">
        <f>ROUND(C20-D19,2)</f>
        <v/>
      </c>
    </row>
    <row r="22" ht="12.5" customHeight="1">
      <c r="B22" s="3" t="inlineStr">
        <is>
          <t>Source: fct_arr_budget_bridge (Phase 7).</t>
        </is>
      </c>
    </row>
    <row r="23" ht="6.5" customHeight="1"/>
    <row r="24" ht="14" customHeight="1"/>
    <row r="25" ht="17" customHeight="1">
      <c r="B25" s="5" t="inlineStr">
        <is>
          <t>FY2026 Gross Profit -- Budget to Base</t>
        </is>
      </c>
      <c r="C25" s="6" t="n"/>
      <c r="D25" s="6" t="n"/>
    </row>
    <row r="26" ht="12.5" customHeight="1">
      <c r="B26" s="16" t="inlineStr">
        <is>
          <t>Every COGS driver is split payroll versus non-payroll and calculated from the same mechanics Phase 6 used to build Base -- no 'other' catch-all line.</t>
        </is>
      </c>
    </row>
    <row r="27" ht="6.5" customHeight="1"/>
    <row r="28" ht="14" customHeight="1">
      <c r="B28" s="96" t="inlineStr">
        <is>
          <t>Bridge line</t>
        </is>
      </c>
      <c r="C28" s="97" t="inlineStr">
        <is>
          <t>Amount</t>
        </is>
      </c>
      <c r="D28" s="97" t="inlineStr">
        <is>
          <t>Running balance</t>
        </is>
      </c>
    </row>
    <row r="29" ht="14" customHeight="1">
      <c r="B29" s="98" t="inlineStr">
        <is>
          <t>Budget Gross Profit</t>
        </is>
      </c>
      <c r="C29" s="99" t="n">
        <v>24911442.95</v>
      </c>
      <c r="D29" s="100">
        <f>C29</f>
        <v/>
      </c>
    </row>
    <row r="30" ht="14" customHeight="1">
      <c r="B30" s="75" t="inlineStr">
        <is>
          <t>Revenue impact</t>
        </is>
      </c>
      <c r="C30" s="101" t="n">
        <v>-841657.0083486214</v>
      </c>
      <c r="D30" s="48">
        <f>D29+C30</f>
        <v/>
      </c>
    </row>
    <row r="31" ht="14" customHeight="1">
      <c r="B31" s="75" t="inlineStr">
        <is>
          <t>Subscription COGS - payroll impact</t>
        </is>
      </c>
      <c r="C31" s="101" t="n">
        <v>1315484.140200107</v>
      </c>
      <c r="D31" s="48">
        <f>D30+C31</f>
        <v/>
      </c>
    </row>
    <row r="32" ht="14" customHeight="1">
      <c r="B32" s="75" t="inlineStr">
        <is>
          <t>Subscription COGS - non-payroll impact</t>
        </is>
      </c>
      <c r="C32" s="101" t="n">
        <v>345292.4900000002</v>
      </c>
      <c r="D32" s="48">
        <f>D31+C32</f>
        <v/>
      </c>
    </row>
    <row r="33" ht="14" customHeight="1">
      <c r="B33" s="75" t="inlineStr">
        <is>
          <t>Services COGS - payroll impact</t>
        </is>
      </c>
      <c r="C33" s="101" t="n">
        <v>-44082.68573582219</v>
      </c>
      <c r="D33" s="48">
        <f>D32+C33</f>
        <v/>
      </c>
    </row>
    <row r="34" ht="14" customHeight="1">
      <c r="B34" s="75" t="inlineStr">
        <is>
          <t>Services COGS - non-payroll impact</t>
        </is>
      </c>
      <c r="C34" s="101" t="n">
        <v>8292.090000000011</v>
      </c>
      <c r="D34" s="48">
        <f>D33+C34</f>
        <v/>
      </c>
    </row>
    <row r="35" ht="14" customHeight="1">
      <c r="B35" s="98" t="inlineStr">
        <is>
          <t>Base Gross Profit</t>
        </is>
      </c>
      <c r="C35" s="99" t="n">
        <v>25694771.97611566</v>
      </c>
      <c r="D35" s="102" t="inlineStr"/>
    </row>
    <row r="36" ht="14" customHeight="1">
      <c r="B36" s="45" t="inlineStr">
        <is>
          <t>Residual (must be zero)</t>
        </is>
      </c>
      <c r="C36" s="31" t="inlineStr"/>
      <c r="D36" s="103">
        <f>ROUND(C35-D34,2)</f>
        <v/>
      </c>
    </row>
    <row r="37" ht="12.5" customHeight="1">
      <c r="B37" s="3" t="inlineStr">
        <is>
          <t>Source: fct_gross_profit_bridge (Phase 7).</t>
        </is>
      </c>
    </row>
    <row r="38" ht="6.5" customHeight="1"/>
    <row r="39" ht="14" customHeight="1"/>
    <row r="40" ht="17" customHeight="1">
      <c r="B40" s="5" t="inlineStr">
        <is>
          <t>FY2026 Total OpEx -- Budget to Base</t>
        </is>
      </c>
      <c r="C40" s="6" t="n"/>
      <c r="D40" s="6" t="n"/>
    </row>
    <row r="41" ht="12.5" customHeight="1">
      <c r="B41" s="16" t="inlineStr">
        <is>
          <t>Payroll, sales commissions and non-payroll run rate, across all three categories. Category-level detail is in tbl_opex_bridge_all on Data_Bridge.</t>
        </is>
      </c>
    </row>
    <row r="42" ht="6.5" customHeight="1"/>
    <row r="43" ht="14" customHeight="1">
      <c r="B43" s="96" t="inlineStr">
        <is>
          <t>Bridge line</t>
        </is>
      </c>
      <c r="C43" s="97" t="inlineStr">
        <is>
          <t>Amount</t>
        </is>
      </c>
      <c r="D43" s="97" t="inlineStr">
        <is>
          <t>Running balance</t>
        </is>
      </c>
    </row>
    <row r="44" ht="14" customHeight="1">
      <c r="B44" s="98" t="inlineStr">
        <is>
          <t>Budget Total OpEx</t>
        </is>
      </c>
      <c r="C44" s="99" t="n">
        <v>30536909.83</v>
      </c>
      <c r="D44" s="100">
        <f>C44</f>
        <v/>
      </c>
    </row>
    <row r="45" ht="14" customHeight="1">
      <c r="B45" s="75" t="inlineStr">
        <is>
          <t>Payroll impact (all categories)</t>
        </is>
      </c>
      <c r="C45" s="101" t="n">
        <v>2409941.953037763</v>
      </c>
      <c r="D45" s="48">
        <f>D44+C45</f>
        <v/>
      </c>
    </row>
    <row r="46" ht="14" customHeight="1">
      <c r="B46" s="75" t="inlineStr">
        <is>
          <t>Sales commissions impact</t>
        </is>
      </c>
      <c r="C46" s="101" t="n">
        <v>-98267.10579086628</v>
      </c>
      <c r="D46" s="48">
        <f>D45+C46</f>
        <v/>
      </c>
    </row>
    <row r="47" ht="14" customHeight="1">
      <c r="B47" s="75" t="inlineStr">
        <is>
          <t>Non-payroll run-rate impact (all categories)</t>
        </is>
      </c>
      <c r="C47" s="101" t="n">
        <v>-1440123.530000001</v>
      </c>
      <c r="D47" s="48">
        <f>D46+C47</f>
        <v/>
      </c>
    </row>
    <row r="48" ht="14" customHeight="1">
      <c r="B48" s="98" t="inlineStr">
        <is>
          <t>Base Total OpEx</t>
        </is>
      </c>
      <c r="C48" s="99" t="n">
        <v>31408461.1472469</v>
      </c>
      <c r="D48" s="102" t="inlineStr"/>
    </row>
    <row r="49" ht="14" customHeight="1">
      <c r="B49" s="45" t="inlineStr">
        <is>
          <t>Residual (must be zero)</t>
        </is>
      </c>
      <c r="C49" s="31" t="inlineStr"/>
      <c r="D49" s="103">
        <f>ROUND(C48-D47,2)</f>
        <v/>
      </c>
    </row>
    <row r="50" ht="12.5" customHeight="1">
      <c r="B50" s="3" t="inlineStr">
        <is>
          <t>Source: fct_opex_budget_bridge (Phase 7).</t>
        </is>
      </c>
    </row>
    <row r="51" ht="6.5" customHeight="1"/>
    <row r="52" ht="14" customHeight="1"/>
    <row r="53" ht="17" customHeight="1">
      <c r="B53" s="5" t="inlineStr">
        <is>
          <t>FY2026 Operating Income / (Loss) -- Budget to Base</t>
        </is>
      </c>
      <c r="C53" s="6" t="n"/>
      <c r="D53" s="6" t="n"/>
    </row>
    <row r="54" ht="12.5" customHeight="1">
      <c r="B54" s="16" t="inlineStr">
        <is>
          <t>Every revenue, COGS and OpEx variance signed by its actual effect on profit, so the walk reconciles end to end.</t>
        </is>
      </c>
    </row>
    <row r="55" ht="6.5" customHeight="1"/>
    <row r="56" ht="14" customHeight="1">
      <c r="B56" s="96" t="inlineStr">
        <is>
          <t>Bridge line</t>
        </is>
      </c>
      <c r="C56" s="97" t="inlineStr">
        <is>
          <t>Amount</t>
        </is>
      </c>
      <c r="D56" s="97" t="inlineStr">
        <is>
          <t>Running balance</t>
        </is>
      </c>
    </row>
    <row r="57" ht="14" customHeight="1">
      <c r="B57" s="98" t="inlineStr">
        <is>
          <t>Budget Operating Income / (Loss)</t>
        </is>
      </c>
      <c r="C57" s="99" t="n">
        <v>-5625466.879999995</v>
      </c>
      <c r="D57" s="100">
        <f>C57</f>
        <v/>
      </c>
    </row>
    <row r="58" ht="14" customHeight="1">
      <c r="B58" s="75" t="inlineStr">
        <is>
          <t>Revenue variance - Subscription</t>
        </is>
      </c>
      <c r="C58" s="101" t="n">
        <v>-425016.0712491795</v>
      </c>
      <c r="D58" s="48">
        <f>D57+C58</f>
        <v/>
      </c>
    </row>
    <row r="59" ht="14" customHeight="1">
      <c r="B59" s="75" t="inlineStr">
        <is>
          <t>Revenue variance - Services</t>
        </is>
      </c>
      <c r="C59" s="101" t="n">
        <v>-416640.9370994475</v>
      </c>
      <c r="D59" s="48">
        <f>D58+C59</f>
        <v/>
      </c>
    </row>
    <row r="60" ht="14" customHeight="1">
      <c r="B60" s="75" t="inlineStr">
        <is>
          <t>Subscription COGS impact</t>
        </is>
      </c>
      <c r="C60" s="101" t="n">
        <v>1660776.630200107</v>
      </c>
      <c r="D60" s="48">
        <f>D59+C60</f>
        <v/>
      </c>
    </row>
    <row r="61" ht="14" customHeight="1">
      <c r="B61" s="75" t="inlineStr">
        <is>
          <t>Services COGS impact</t>
        </is>
      </c>
      <c r="C61" s="101" t="n">
        <v>-35790.59573582222</v>
      </c>
      <c r="D61" s="48">
        <f>D60+C61</f>
        <v/>
      </c>
    </row>
    <row r="62" ht="14" customHeight="1">
      <c r="B62" s="75" t="inlineStr">
        <is>
          <t>Sales &amp; Marketing OpEx impact</t>
        </is>
      </c>
      <c r="C62" s="101" t="n">
        <v>-901152.1413624622</v>
      </c>
      <c r="D62" s="48">
        <f>D61+C62</f>
        <v/>
      </c>
    </row>
    <row r="63" ht="14" customHeight="1">
      <c r="B63" s="75" t="inlineStr">
        <is>
          <t>Research &amp; Development OpEx impact</t>
        </is>
      </c>
      <c r="C63" s="101" t="n">
        <v>80429.13787378557</v>
      </c>
      <c r="D63" s="48">
        <f>D62+C63</f>
        <v/>
      </c>
    </row>
    <row r="64" ht="14" customHeight="1">
      <c r="B64" s="75" t="inlineStr">
        <is>
          <t>General &amp; Administrative OpEx impact</t>
        </is>
      </c>
      <c r="C64" s="101" t="n">
        <v>-50828.31375822145</v>
      </c>
      <c r="D64" s="48">
        <f>D63+C64</f>
        <v/>
      </c>
    </row>
    <row r="65" ht="14" customHeight="1">
      <c r="B65" s="98" t="inlineStr">
        <is>
          <t>Base Operating Income / (Loss)</t>
        </is>
      </c>
      <c r="C65" s="99" t="n">
        <v>-5713689.171131238</v>
      </c>
      <c r="D65" s="102" t="inlineStr"/>
    </row>
    <row r="66" ht="14" customHeight="1">
      <c r="B66" s="45" t="inlineStr">
        <is>
          <t>Residual (must be zero)</t>
        </is>
      </c>
      <c r="C66" s="31" t="inlineStr"/>
      <c r="D66" s="103">
        <f>ROUND(C65-D64,2)</f>
        <v/>
      </c>
    </row>
    <row r="67" ht="12.5" customHeight="1">
      <c r="B67" s="3" t="inlineStr">
        <is>
          <t>Source: fct_operating_income_bridge (Phase 7).</t>
        </is>
      </c>
    </row>
    <row r="68" ht="6.5" customHeight="1"/>
    <row r="69" ht="14" customHeight="1"/>
    <row r="70" ht="17" customHeight="1">
      <c r="B70" s="5" t="inlineStr">
        <is>
          <t>FY2026 Gross Margin</t>
        </is>
      </c>
      <c r="C70" s="6" t="n"/>
      <c r="D70" s="6" t="n"/>
    </row>
    <row r="71" ht="12.5" customHeight="1">
      <c r="B71" s="16" t="inlineStr">
        <is>
          <t>Reported in basis points, never as a bare percentage-point difference.</t>
        </is>
      </c>
    </row>
    <row r="72" ht="6.5" customHeight="1"/>
    <row r="73" ht="14" customHeight="1">
      <c r="B73" s="75" t="inlineStr">
        <is>
          <t>Budget Gross Margin %</t>
        </is>
      </c>
      <c r="C73" s="25" t="n">
        <v>0.7406927433120192</v>
      </c>
    </row>
    <row r="74" ht="14" customHeight="1">
      <c r="B74" s="75" t="inlineStr">
        <is>
          <t>Base Gross Margin %</t>
        </is>
      </c>
      <c r="C74" s="25" t="n">
        <v>0.7835929153338076</v>
      </c>
    </row>
    <row r="75" ht="14" customHeight="1">
      <c r="B75" s="49" t="inlineStr">
        <is>
          <t>Gross Margin variance</t>
        </is>
      </c>
      <c r="C75" s="104" t="n">
        <v>429.0017202178842</v>
      </c>
    </row>
    <row r="76" ht="14" customHeight="1"/>
    <row r="77" ht="12.5" customHeight="1">
      <c r="B77" s="3" t="inlineStr">
        <is>
          <t>Source: fct_gross_profit_bridge (Phase 7).</t>
        </is>
      </c>
    </row>
    <row r="78" ht="6.5" customHeight="1"/>
    <row r="79" ht="14" customHeight="1"/>
    <row r="80" ht="17" customHeight="1">
      <c r="B80" s="5" t="inlineStr">
        <is>
          <t>FY2026 Revenue -- Subscription, Services and Total</t>
        </is>
      </c>
      <c r="C80" s="6" t="n"/>
      <c r="D80" s="6" t="n"/>
    </row>
    <row r="81" ht="12.5" customHeight="1">
      <c r="B81" s="16" t="inlineStr">
        <is>
          <t>A calculated recognition-mechanic decomposition: the same ARR-lag and attach-ratio mechanics Phase 6 uses to build Base, run over Budget's own ARR path. Never a fabricated price-volume split.</t>
        </is>
      </c>
    </row>
    <row r="82" ht="6.5" customHeight="1"/>
    <row r="83" ht="14" customHeight="1">
      <c r="B83" s="17" t="inlineStr">
        <is>
          <t>Revenue line</t>
        </is>
      </c>
      <c r="C83" s="17" t="inlineStr">
        <is>
          <t>Bridge line</t>
        </is>
      </c>
      <c r="D83" s="18" t="inlineStr">
        <is>
          <t>Amount</t>
        </is>
      </c>
    </row>
    <row r="84" ht="14" customHeight="1">
      <c r="B84" s="32" t="inlineStr">
        <is>
          <t>Services Revenue</t>
        </is>
      </c>
      <c r="C84" s="19" t="inlineStr">
        <is>
          <t>Budget Services Revenue</t>
        </is>
      </c>
      <c r="D84" s="48" t="n">
        <v>926973.59</v>
      </c>
    </row>
    <row r="85" ht="14" customHeight="1">
      <c r="B85" s="32" t="inlineStr">
        <is>
          <t>Services Revenue</t>
        </is>
      </c>
      <c r="C85" s="19" t="inlineStr">
        <is>
          <t>Attach-rate mechanic effect (ratio formula vs. Budget stated)</t>
        </is>
      </c>
      <c r="D85" s="48" t="n">
        <v>-35328.62879396137</v>
      </c>
    </row>
    <row r="86" ht="14" customHeight="1">
      <c r="B86" s="32" t="inlineStr">
        <is>
          <t>Services Revenue</t>
        </is>
      </c>
      <c r="C86" s="19" t="inlineStr">
        <is>
          <t>New Logo ARR effect</t>
        </is>
      </c>
      <c r="D86" s="48" t="n">
        <v>-415162.7464699437</v>
      </c>
    </row>
    <row r="87" ht="14" customHeight="1">
      <c r="B87" s="32" t="inlineStr">
        <is>
          <t>Services Revenue</t>
        </is>
      </c>
      <c r="C87" s="19" t="inlineStr">
        <is>
          <t>H1 actual-vs-mechanical residual</t>
        </is>
      </c>
      <c r="D87" s="48" t="n">
        <v>33850.4381644575</v>
      </c>
    </row>
    <row r="88" ht="14" customHeight="1">
      <c r="B88" s="32" t="inlineStr">
        <is>
          <t>Services Revenue</t>
        </is>
      </c>
      <c r="C88" s="19" t="inlineStr">
        <is>
          <t>Base Services Revenue</t>
        </is>
      </c>
      <c r="D88" s="48" t="n">
        <v>510332.6529005525</v>
      </c>
    </row>
    <row r="89" ht="14" customHeight="1">
      <c r="B89" s="32" t="inlineStr">
        <is>
          <t>Subscription Revenue</t>
        </is>
      </c>
      <c r="C89" s="19" t="inlineStr">
        <is>
          <t>Budget Subscription Revenue</t>
        </is>
      </c>
      <c r="D89" s="48" t="n">
        <v>32705653.67</v>
      </c>
    </row>
    <row r="90" ht="14" customHeight="1">
      <c r="B90" s="32" t="inlineStr">
        <is>
          <t>Subscription Revenue</t>
        </is>
      </c>
      <c r="C90" s="19" t="inlineStr">
        <is>
          <t>Recognition-mechanic effect (lag formula vs. Budget stated)</t>
        </is>
      </c>
      <c r="D90" s="48" t="n">
        <v>-0.0011666715145111</v>
      </c>
    </row>
    <row r="91" ht="14" customHeight="1">
      <c r="B91" s="32" t="inlineStr">
        <is>
          <t>Subscription Revenue</t>
        </is>
      </c>
      <c r="C91" s="19" t="inlineStr">
        <is>
          <t>ARR / recurring-base effect</t>
        </is>
      </c>
      <c r="D91" s="48" t="n">
        <v>-425016.0790825114</v>
      </c>
    </row>
    <row r="92" ht="14" customHeight="1">
      <c r="B92" s="32" t="inlineStr">
        <is>
          <t>Subscription Revenue</t>
        </is>
      </c>
      <c r="C92" s="19" t="inlineStr">
        <is>
          <t>H1 actual-vs-mechanical residual</t>
        </is>
      </c>
      <c r="D92" s="48" t="n">
        <v>0.0090000033378601</v>
      </c>
    </row>
    <row r="93" ht="14" customHeight="1">
      <c r="B93" s="32" t="inlineStr">
        <is>
          <t>Subscription Revenue</t>
        </is>
      </c>
      <c r="C93" s="19" t="inlineStr">
        <is>
          <t>Base Subscription Revenue</t>
        </is>
      </c>
      <c r="D93" s="48" t="n">
        <v>32280637.59875082</v>
      </c>
    </row>
    <row r="94" ht="14" customHeight="1">
      <c r="B94" s="32" t="inlineStr">
        <is>
          <t>Total Revenue</t>
        </is>
      </c>
      <c r="C94" s="19" t="inlineStr">
        <is>
          <t>Budget Total Revenue</t>
        </is>
      </c>
      <c r="D94" s="48" t="n">
        <v>33632627.26000001</v>
      </c>
    </row>
    <row r="95" ht="14" customHeight="1">
      <c r="B95" s="32" t="inlineStr">
        <is>
          <t>Total Revenue</t>
        </is>
      </c>
      <c r="C95" s="19" t="inlineStr">
        <is>
          <t>Recognition-mechanic + attach-rate effect (combined)</t>
        </is>
      </c>
      <c r="D95" s="48" t="n">
        <v>-35328.62996063288</v>
      </c>
    </row>
    <row r="96" ht="14" customHeight="1">
      <c r="B96" s="32" t="inlineStr">
        <is>
          <t>Total Revenue</t>
        </is>
      </c>
      <c r="C96" s="19" t="inlineStr">
        <is>
          <t>ARR / New Logo effect (combined)</t>
        </is>
      </c>
      <c r="D96" s="48" t="n">
        <v>-840178.825552455</v>
      </c>
    </row>
    <row r="97" ht="14" customHeight="1">
      <c r="B97" s="32" t="inlineStr">
        <is>
          <t>Total Revenue</t>
        </is>
      </c>
      <c r="C97" s="19" t="inlineStr">
        <is>
          <t>H1 actual-vs-mechanical residual (combined)</t>
        </is>
      </c>
      <c r="D97" s="48" t="n">
        <v>33850.44716446084</v>
      </c>
    </row>
    <row r="98" ht="14" customHeight="1">
      <c r="B98" s="32" t="inlineStr">
        <is>
          <t>Total Revenue</t>
        </is>
      </c>
      <c r="C98" s="19" t="inlineStr">
        <is>
          <t>Base Total Revenue</t>
        </is>
      </c>
      <c r="D98" s="48" t="n">
        <v>32790970.25165138</v>
      </c>
    </row>
    <row r="99" ht="14" customHeight="1"/>
    <row r="100" ht="12.5" customHeight="1">
      <c r="B100" s="3" t="inlineStr">
        <is>
          <t>Source: fct_revenue_budget_bridge (Phase 7).</t>
        </is>
      </c>
    </row>
    <row r="101" ht="6.5" customHeight="1"/>
    <row r="102" ht="14" customHeight="1"/>
    <row r="103" ht="12.5" customHeight="1">
      <c r="B103" s="16" t="inlineStr">
        <is>
          <t>Segment ARR bridges are in tbl_arr_bridge_segment on Data_Bridge. Budget's five ARR movement components carry no segment grain in the source, so the Budget side of a segment bridge is an allocation and is labelled budget_grain = 'allocated'. Base's segment figures are always segment-native.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56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4" customHeight="1"/>
  <cols>
    <col width="1.8" customWidth="1" min="1" max="1"/>
    <col width="40" customWidth="1" min="2" max="2"/>
    <col width="16" customWidth="1" min="3" max="3"/>
    <col width="16" customWidth="1" min="4" max="4"/>
    <col width="16" customWidth="1" min="5" max="5"/>
    <col width="2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 -- Bear / Base / Bull operating scenarios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7" customHeight="1">
      <c r="B7" s="5" t="inlineStr">
        <is>
          <t>Scenario comparison</t>
        </is>
      </c>
      <c r="C7" s="6" t="n"/>
      <c r="D7" s="6" t="n"/>
      <c r="E7" s="6" t="n"/>
    </row>
    <row r="8" ht="12.5" customHeight="1">
      <c r="B8" s="16" t="inlineStr">
        <is>
          <t>Base is the Board reforecast. Bear and Bull are management operating scenarios, not alternative forecasts of record. Incremental hiring is deliberately not a scenario lever -- it is a separate management-action dimension on the next tab.</t>
        </is>
      </c>
    </row>
    <row r="9" ht="6.5" customHeight="1"/>
    <row r="10" ht="14" customHeight="1">
      <c r="B10" s="17" t="inlineStr"/>
      <c r="C10" s="18" t="inlineStr">
        <is>
          <t>Bear</t>
        </is>
      </c>
      <c r="D10" s="84" t="inlineStr">
        <is>
          <t>Base</t>
        </is>
      </c>
      <c r="E10" s="18" t="inlineStr">
        <is>
          <t>Bull</t>
        </is>
      </c>
    </row>
    <row r="11" ht="14" customHeight="1">
      <c r="B11" s="34" t="inlineStr">
        <is>
          <t>Dec-2026 Exit ARR</t>
        </is>
      </c>
      <c r="C11" s="21">
        <f>_xlfn.XLOOKUP("Bear",tbl_scenario_summary[scenario],tbl_scenario_summary[dec_2026_exit_arr])</f>
        <v/>
      </c>
      <c r="D11" s="105">
        <f>_xlfn.XLOOKUP("Base",tbl_scenario_summary[scenario],tbl_scenario_summary[dec_2026_exit_arr])</f>
        <v/>
      </c>
      <c r="E11" s="21">
        <f>_xlfn.XLOOKUP("Bull",tbl_scenario_summary[scenario],tbl_scenario_summary[dec_2026_exit_arr])</f>
        <v/>
      </c>
    </row>
    <row r="12" ht="14" customHeight="1">
      <c r="B12" s="19" t="inlineStr">
        <is>
          <t>FY2026 revenue</t>
        </is>
      </c>
      <c r="C12" s="20">
        <f>_xlfn.XLOOKUP("Bear",tbl_scenario_summary[scenario],tbl_scenario_summary[fy2026_revenue])</f>
        <v/>
      </c>
      <c r="D12" s="106">
        <f>_xlfn.XLOOKUP("Base",tbl_scenario_summary[scenario],tbl_scenario_summary[fy2026_revenue])</f>
        <v/>
      </c>
      <c r="E12" s="20">
        <f>_xlfn.XLOOKUP("Bull",tbl_scenario_summary[scenario],tbl_scenario_summary[fy2026_revenue])</f>
        <v/>
      </c>
    </row>
    <row r="13" ht="14" customHeight="1">
      <c r="B13" s="19" t="inlineStr">
        <is>
          <t>FY2026 operating income / (loss)</t>
        </is>
      </c>
      <c r="C13" s="20">
        <f>_xlfn.XLOOKUP("Bear",tbl_scenario_summary[scenario],tbl_scenario_summary[fy2026_operating_income])</f>
        <v/>
      </c>
      <c r="D13" s="106">
        <f>_xlfn.XLOOKUP("Base",tbl_scenario_summary[scenario],tbl_scenario_summary[fy2026_operating_income])</f>
        <v/>
      </c>
      <c r="E13" s="20">
        <f>_xlfn.XLOOKUP("Bull",tbl_scenario_summary[scenario],tbl_scenario_summary[fy2026_operating_income])</f>
        <v/>
      </c>
    </row>
    <row r="14" ht="14" customHeight="1">
      <c r="B14" s="19" t="inlineStr">
        <is>
          <t>Dec-2027 Exit ARR</t>
        </is>
      </c>
      <c r="C14" s="20">
        <f>_xlfn.XLOOKUP("Bear",tbl_scenario_summary[scenario],tbl_scenario_summary[dec_2027_exit_arr])</f>
        <v/>
      </c>
      <c r="D14" s="106">
        <f>_xlfn.XLOOKUP("Base",tbl_scenario_summary[scenario],tbl_scenario_summary[dec_2027_exit_arr])</f>
        <v/>
      </c>
      <c r="E14" s="20">
        <f>_xlfn.XLOOKUP("Bull",tbl_scenario_summary[scenario],tbl_scenario_summary[dec_2027_exit_arr])</f>
        <v/>
      </c>
    </row>
    <row r="15" ht="14" customHeight="1">
      <c r="B15" s="19" t="inlineStr">
        <is>
          <t>Dec-2026 cash</t>
        </is>
      </c>
      <c r="C15" s="20">
        <f>_xlfn.XLOOKUP("Bear",tbl_scenario_summary[scenario],tbl_scenario_summary[dec_2026_cash])</f>
        <v/>
      </c>
      <c r="D15" s="106">
        <f>_xlfn.XLOOKUP("Base",tbl_scenario_summary[scenario],tbl_scenario_summary[dec_2026_cash])</f>
        <v/>
      </c>
      <c r="E15" s="20">
        <f>_xlfn.XLOOKUP("Bull",tbl_scenario_summary[scenario],tbl_scenario_summary[dec_2026_cash])</f>
        <v/>
      </c>
    </row>
    <row r="16" ht="14" customHeight="1">
      <c r="B16" s="19" t="inlineStr">
        <is>
          <t>Dec-2027 cash</t>
        </is>
      </c>
      <c r="C16" s="20">
        <f>_xlfn.XLOOKUP("Bear",tbl_scenario_summary[scenario],tbl_scenario_summary[dec_2027_cash])</f>
        <v/>
      </c>
      <c r="D16" s="106">
        <f>_xlfn.XLOOKUP("Base",tbl_scenario_summary[scenario],tbl_scenario_summary[dec_2027_cash])</f>
        <v/>
      </c>
      <c r="E16" s="20">
        <f>_xlfn.XLOOKUP("Bull",tbl_scenario_summary[scenario],tbl_scenario_summary[dec_2027_cash])</f>
        <v/>
      </c>
    </row>
    <row r="17" ht="14" customHeight="1">
      <c r="B17" s="19" t="inlineStr">
        <is>
          <t>Board-policy average monthly burn</t>
        </is>
      </c>
      <c r="C17" s="54">
        <f>_xlfn.XLOOKUP("Bear",tbl_scenario_summary[scenario],tbl_scenario_summary[policy_avg_monthly_burn])</f>
        <v/>
      </c>
      <c r="D17" s="107">
        <f>_xlfn.XLOOKUP("Base",tbl_scenario_summary[scenario],tbl_scenario_summary[policy_avg_monthly_burn])</f>
        <v/>
      </c>
      <c r="E17" s="54">
        <f>_xlfn.XLOOKUP("Bull",tbl_scenario_summary[scenario],tbl_scenario_summary[policy_avg_monthly_burn])</f>
        <v/>
      </c>
    </row>
    <row r="18" ht="14" customHeight="1">
      <c r="B18" s="34" t="inlineStr">
        <is>
          <t>Board-policy runway</t>
        </is>
      </c>
      <c r="C18" s="61">
        <f>_xlfn.XLOOKUP("Bear",tbl_scenario_summary[scenario],tbl_scenario_summary[policy_runway_months])</f>
        <v/>
      </c>
      <c r="D18" s="108">
        <f>_xlfn.XLOOKUP("Base",tbl_scenario_summary[scenario],tbl_scenario_summary[policy_runway_months])</f>
        <v/>
      </c>
      <c r="E18" s="61">
        <f>_xlfn.XLOOKUP("Bull",tbl_scenario_summary[scenario],tbl_scenario_summary[policy_runway_months])</f>
        <v/>
      </c>
    </row>
    <row r="19" ht="14" customHeight="1">
      <c r="B19" s="19" t="inlineStr">
        <is>
          <t>Headroom vs the 24-month floor</t>
        </is>
      </c>
      <c r="C19" s="109">
        <f>_xlfn.XLOOKUP("Bear",tbl_scenario_summary[scenario],tbl_scenario_summary[headroom_months])</f>
        <v/>
      </c>
      <c r="D19" s="110">
        <f>_xlfn.XLOOKUP("Base",tbl_scenario_summary[scenario],tbl_scenario_summary[headroom_months])</f>
        <v/>
      </c>
      <c r="E19" s="109">
        <f>_xlfn.XLOOKUP("Bull",tbl_scenario_summary[scenario],tbl_scenario_summary[headroom_months])</f>
        <v/>
      </c>
    </row>
    <row r="20" ht="14" customHeight="1">
      <c r="B20" s="19" t="inlineStr">
        <is>
          <t>Breaches the Board floor</t>
        </is>
      </c>
      <c r="C20" s="24">
        <f>_xlfn.XLOOKUP("Bear",tbl_scenario_summary[scenario],tbl_scenario_summary[breaches_floor])</f>
        <v/>
      </c>
      <c r="D20" s="111">
        <f>_xlfn.XLOOKUP("Base",tbl_scenario_summary[scenario],tbl_scenario_summary[breaches_floor])</f>
        <v/>
      </c>
      <c r="E20" s="24">
        <f>_xlfn.XLOOKUP("Bull",tbl_scenario_summary[scenario],tbl_scenario_summary[breaches_floor])</f>
        <v/>
      </c>
    </row>
    <row r="21" ht="14" customHeight="1"/>
    <row r="22" ht="12.5" customHeight="1">
      <c r="B22" s="3" t="inlineStr">
        <is>
          <t>Source: fct_scenario_monthly and fct_cash_runway_policy (Phase 6).</t>
        </is>
      </c>
    </row>
    <row r="23" ht="6.5" customHeight="1"/>
    <row r="24" ht="14" customHeight="1"/>
    <row r="25" ht="17" customHeight="1">
      <c r="B25" s="5" t="inlineStr">
        <is>
          <t>Scenario assumptions -- management levers, not history</t>
        </is>
      </c>
      <c r="C25" s="6" t="n"/>
      <c r="D25" s="6" t="n"/>
      <c r="E25" s="6" t="n"/>
    </row>
    <row r="26" ht="12.5" customHeight="1">
      <c r="B26" s="16" t="inlineStr">
        <is>
          <t>Five multipliers, each tied to one separately modelled mechanism, applied on top of the data-derived Base rates. Never a blanket revenue or EBITDA multiplier, and never presented as derived from actuals.</t>
        </is>
      </c>
    </row>
    <row r="27" ht="6.5" customHeight="1"/>
    <row r="28" ht="14" customHeight="1">
      <c r="B28" s="17" t="inlineStr">
        <is>
          <t>Management lever</t>
        </is>
      </c>
      <c r="C28" s="18" t="inlineStr">
        <is>
          <t>Bear</t>
        </is>
      </c>
      <c r="D28" s="18" t="inlineStr">
        <is>
          <t>Base</t>
        </is>
      </c>
      <c r="E28" s="18" t="inlineStr">
        <is>
          <t>Bull</t>
        </is>
      </c>
    </row>
    <row r="29" ht="14" customHeight="1">
      <c r="B29" s="19" t="inlineStr">
        <is>
          <t>Win rate multiplier</t>
        </is>
      </c>
      <c r="C29" s="112">
        <f>_xlfn.XLOOKUP("Bear",tbl_scenario_summary[scenario],tbl_scenario_summary[win_rate_multiplier])</f>
        <v/>
      </c>
      <c r="D29" s="112">
        <f>_xlfn.XLOOKUP("Base",tbl_scenario_summary[scenario],tbl_scenario_summary[win_rate_multiplier])</f>
        <v/>
      </c>
      <c r="E29" s="112">
        <f>_xlfn.XLOOKUP("Bull",tbl_scenario_summary[scenario],tbl_scenario_summary[win_rate_multiplier])</f>
        <v/>
      </c>
    </row>
    <row r="30" ht="12.5" customHeight="1">
      <c r="B30" s="19" t="inlineStr">
        <is>
          <t>Attainment multiplier</t>
        </is>
      </c>
      <c r="C30" s="112">
        <f>_xlfn.XLOOKUP("Bear",tbl_scenario_summary[scenario],tbl_scenario_summary[attainment_multiplier])</f>
        <v/>
      </c>
      <c r="D30" s="112">
        <f>_xlfn.XLOOKUP("Base",tbl_scenario_summary[scenario],tbl_scenario_summary[attainment_multiplier])</f>
        <v/>
      </c>
      <c r="E30" s="112">
        <f>_xlfn.XLOOKUP("Bull",tbl_scenario_summary[scenario],tbl_scenario_summary[attainment_multiplier])</f>
        <v/>
      </c>
      <c r="G30" s="16" t="inlineStr">
        <is>
          <t>Quarter-spaced labels; every month is still plotted. The three paths separate from Jul-2026, the first forecast month -- everything to the left is shared actual history.</t>
        </is>
      </c>
    </row>
    <row r="31" ht="14" customHeight="1">
      <c r="B31" s="19" t="inlineStr">
        <is>
          <t>Pipeline creation multiplier</t>
        </is>
      </c>
      <c r="C31" s="112">
        <f>_xlfn.XLOOKUP("Bear",tbl_scenario_summary[scenario],tbl_scenario_summary[pipeline_creation_multiplier])</f>
        <v/>
      </c>
      <c r="D31" s="112">
        <f>_xlfn.XLOOKUP("Base",tbl_scenario_summary[scenario],tbl_scenario_summary[pipeline_creation_multiplier])</f>
        <v/>
      </c>
      <c r="E31" s="112">
        <f>_xlfn.XLOOKUP("Bull",tbl_scenario_summary[scenario],tbl_scenario_summary[pipeline_creation_multiplier])</f>
        <v/>
      </c>
    </row>
    <row r="32" ht="14" customHeight="1">
      <c r="B32" s="19" t="inlineStr">
        <is>
          <t>Retention severity multiplier</t>
        </is>
      </c>
      <c r="C32" s="112">
        <f>_xlfn.XLOOKUP("Bear",tbl_scenario_summary[scenario],tbl_scenario_summary[retention_severity_multiplier])</f>
        <v/>
      </c>
      <c r="D32" s="112">
        <f>_xlfn.XLOOKUP("Base",tbl_scenario_summary[scenario],tbl_scenario_summary[retention_severity_multiplier])</f>
        <v/>
      </c>
      <c r="E32" s="112">
        <f>_xlfn.XLOOKUP("Bull",tbl_scenario_summary[scenario],tbl_scenario_summary[retention_severity_multiplier])</f>
        <v/>
      </c>
    </row>
    <row r="33" ht="14" customHeight="1">
      <c r="B33" s="19" t="inlineStr">
        <is>
          <t>Expansion multiplier</t>
        </is>
      </c>
      <c r="C33" s="112">
        <f>_xlfn.XLOOKUP("Bear",tbl_scenario_summary[scenario],tbl_scenario_summary[expansion_multiplier])</f>
        <v/>
      </c>
      <c r="D33" s="112">
        <f>_xlfn.XLOOKUP("Base",tbl_scenario_summary[scenario],tbl_scenario_summary[expansion_multiplier])</f>
        <v/>
      </c>
      <c r="E33" s="112">
        <f>_xlfn.XLOOKUP("Bull",tbl_scenario_summary[scenario],tbl_scenario_summary[expansion_multiplier])</f>
        <v/>
      </c>
    </row>
    <row r="34" ht="14" customHeight="1"/>
    <row r="35" ht="12.5" customHeight="1">
      <c r="B35" s="16" t="inlineStr">
        <is>
          <t>Amber cells are management assumptions (config/assumptions.yml: forecast.scenario_multipliers). Every other figure on this tab is calculated output. Reactivation is deliberately not scenario-varied: it is small and historically noisy.</t>
        </is>
      </c>
    </row>
    <row r="36" ht="14" customHeight="1"/>
    <row r="37" ht="12.5" customHeight="1">
      <c r="B37" s="3" t="inlineStr">
        <is>
          <t>Source: config/assumptions.yml and int_forecast_drivers (Phase 6).</t>
        </is>
      </c>
    </row>
    <row r="38" ht="6.5" customHeight="1"/>
    <row r="39" ht="14" customHeight="1"/>
    <row r="40" ht="17" customHeight="1">
      <c r="B40" s="5" t="inlineStr">
        <is>
          <t>Scenario summary panel</t>
        </is>
      </c>
      <c r="C40" s="6" t="n"/>
      <c r="D40" s="6" t="n"/>
      <c r="E40" s="6" t="n"/>
    </row>
    <row r="41" ht="12.5" customHeight="1">
      <c r="B41" s="16" t="inlineStr">
        <is>
          <t>This panel alone follows the selector. Base remains the Board reforecast everywhere else in the workbook.</t>
        </is>
      </c>
    </row>
    <row r="42" ht="6.5" customHeight="1"/>
    <row r="43" ht="14" customHeight="1">
      <c r="B43" s="49" t="inlineStr">
        <is>
          <t>Scenario:</t>
        </is>
      </c>
      <c r="C43" s="50" t="inlineStr">
        <is>
          <t>Base</t>
        </is>
      </c>
    </row>
    <row r="44" ht="14" customHeight="1"/>
    <row r="45" ht="14" customHeight="1">
      <c r="B45" s="19" t="inlineStr">
        <is>
          <t>Dec-2026 Exit ARR</t>
        </is>
      </c>
      <c r="D45" s="51">
        <f>_xlfn.XLOOKUP($C$43,tbl_scenario_summary[scenario],tbl_scenario_summary[dec_2026_exit_arr])</f>
        <v/>
      </c>
    </row>
    <row r="46" ht="14" customHeight="1">
      <c r="B46" s="19" t="inlineStr">
        <is>
          <t>FY2026 revenue</t>
        </is>
      </c>
      <c r="D46" s="51">
        <f>_xlfn.XLOOKUP($C$43,tbl_scenario_summary[scenario],tbl_scenario_summary[fy2026_revenue])</f>
        <v/>
      </c>
    </row>
    <row r="47" ht="14" customHeight="1">
      <c r="B47" s="19" t="inlineStr">
        <is>
          <t>FY2026 operating income / (loss)</t>
        </is>
      </c>
      <c r="D47" s="51">
        <f>_xlfn.XLOOKUP($C$43,tbl_scenario_summary[scenario],tbl_scenario_summary[fy2026_operating_income])</f>
        <v/>
      </c>
    </row>
    <row r="48" ht="14" customHeight="1">
      <c r="B48" s="19" t="inlineStr">
        <is>
          <t>Dec-2027 Exit ARR</t>
        </is>
      </c>
      <c r="D48" s="51">
        <f>_xlfn.XLOOKUP($C$43,tbl_scenario_summary[scenario],tbl_scenario_summary[dec_2027_exit_arr])</f>
        <v/>
      </c>
    </row>
    <row r="49" ht="14" customHeight="1">
      <c r="B49" s="19" t="inlineStr">
        <is>
          <t>Dec-2026 cash</t>
        </is>
      </c>
      <c r="D49" s="51">
        <f>_xlfn.XLOOKUP($C$43,tbl_scenario_summary[scenario],tbl_scenario_summary[dec_2026_cash])</f>
        <v/>
      </c>
    </row>
    <row r="50" ht="14" customHeight="1">
      <c r="B50" s="19" t="inlineStr">
        <is>
          <t>Dec-2027 cash</t>
        </is>
      </c>
      <c r="D50" s="51">
        <f>_xlfn.XLOOKUP($C$43,tbl_scenario_summary[scenario],tbl_scenario_summary[dec_2027_cash])</f>
        <v/>
      </c>
    </row>
    <row r="51" ht="14" customHeight="1">
      <c r="B51" s="19" t="inlineStr">
        <is>
          <t>Board-policy average monthly burn</t>
        </is>
      </c>
      <c r="D51" s="113">
        <f>_xlfn.XLOOKUP($C$43,tbl_scenario_summary[scenario],tbl_scenario_summary[policy_avg_monthly_burn])</f>
        <v/>
      </c>
    </row>
    <row r="52" ht="14" customHeight="1">
      <c r="B52" s="19" t="inlineStr">
        <is>
          <t>Board-policy runway</t>
        </is>
      </c>
      <c r="D52" s="114">
        <f>_xlfn.XLOOKUP($C$43,tbl_scenario_summary[scenario],tbl_scenario_summary[policy_runway_months])</f>
        <v/>
      </c>
    </row>
    <row r="53" ht="14" customHeight="1">
      <c r="B53" s="19" t="inlineStr">
        <is>
          <t>Headroom vs the 24-month floor</t>
        </is>
      </c>
      <c r="D53" s="115">
        <f>_xlfn.XLOOKUP($C$43,tbl_scenario_summary[scenario],tbl_scenario_summary[headroom_months])</f>
        <v/>
      </c>
    </row>
    <row r="54" ht="14" customHeight="1">
      <c r="B54" s="19" t="inlineStr">
        <is>
          <t>Breaches the Board floor</t>
        </is>
      </c>
      <c r="D54" s="116">
        <f>_xlfn.XLOOKUP($C$43,tbl_scenario_summary[scenario],tbl_scenario_summary[breaches_floor])</f>
        <v/>
      </c>
    </row>
    <row r="55" ht="14" customHeight="1"/>
    <row r="56" ht="12.5" customHeight="1">
      <c r="B56" s="3" t="inlineStr">
        <is>
          <t>Source: fct_scenario_monthly, fct_cash_runway_policy (Phase 6).</t>
        </is>
      </c>
    </row>
    <row r="57" ht="6.5" customHeight="1"/>
  </sheetData>
  <conditionalFormatting sqref="C19:E19">
    <cfRule type="cellIs" priority="1" operator="lessThan" dxfId="0">
      <formula>0</formula>
    </cfRule>
    <cfRule type="cellIs" priority="2" operator="greaterThan" dxfId="1">
      <formula>0</formula>
    </cfRule>
  </conditionalFormatting>
  <dataValidations count="1">
    <dataValidation sqref="C43" showDropDown="0" showInputMessage="0" showErrorMessage="0" allowBlank="0" errorTitle="Scenario" error="Choose Bear, Base or Bull." type="list">
      <formula1>"Bear,Base,Bull"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52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4" customHeight="1"/>
  <cols>
    <col width="1.8" customWidth="1" min="1" max="1"/>
    <col width="46" customWidth="1" min="2" max="2"/>
    <col width="18" customWidth="1" min="3" max="3"/>
    <col width="18" customWidth="1" min="4" max="4"/>
    <col width="18" customWidth="1" min="5" max="5"/>
    <col width="15" customWidth="1" min="6" max="6"/>
    <col width="13" customWidth="1" min="7" max="7"/>
    <col width="2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 -- runway and the incremental hiring decision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2.5" customHeight="1">
      <c r="B7" s="16" t="inlineStr">
        <is>
          <t>Two questions, answered separately and never collapsed into one: can the company afford a hiring case against the Board's runway floor, and is that case a good use of the spend. Affordable does not mean attractive.</t>
        </is>
      </c>
    </row>
    <row r="8" ht="14" customHeight="1"/>
    <row r="9" ht="17" customHeight="1">
      <c r="B9" s="117" t="inlineStr">
        <is>
          <t>A.  AFFORDABILITY  --  Board-policy runway vs the 24-month floor</t>
        </is>
      </c>
      <c r="C9" s="6" t="n"/>
      <c r="D9" s="6" t="n"/>
      <c r="E9" s="6" t="n"/>
      <c r="F9" s="6" t="n"/>
      <c r="G9" s="6" t="n"/>
    </row>
    <row r="10" ht="12.5" customHeight="1">
      <c r="B10" s="16" t="inlineStr">
        <is>
          <t>The Board-policy view anchors on the approved FY2027 average monthly burn and moves it only by each case's own modelled burn delta. The model-derived operating cash proxy supplies deltas, never the level -- it carries no working capital, no capex and no cash-flow-statement adjustments beyond one D&amp;A add-back.</t>
        </is>
      </c>
    </row>
    <row r="11" ht="6.5" customHeight="1"/>
    <row r="12" ht="14" customHeight="1">
      <c r="B12" s="17" t="inlineStr">
        <is>
          <t>Hiring case</t>
        </is>
      </c>
      <c r="C12" s="18" t="inlineStr">
        <is>
          <t>No Incremental GTM</t>
        </is>
      </c>
      <c r="D12" s="18" t="inlineStr">
        <is>
          <t>Targeted / Runway-Constrained</t>
        </is>
      </c>
      <c r="E12" s="18" t="inlineStr">
        <is>
          <t>Full Capacity-Close</t>
        </is>
      </c>
    </row>
    <row r="13" ht="14" customHeight="1">
      <c r="B13" s="19" t="inlineStr">
        <is>
          <t>Incremental hires</t>
        </is>
      </c>
      <c r="C13" s="28">
        <f>_xlfn.XLOOKUP("No Incremental GTM Hiring",tbl_hiring[case_label],tbl_hiring[cumulative_hires])</f>
        <v/>
      </c>
      <c r="D13" s="28">
        <f>_xlfn.XLOOKUP("Targeted / Runway-Constrained Hiring",tbl_hiring[case_label],tbl_hiring[cumulative_hires])</f>
        <v/>
      </c>
      <c r="E13" s="28">
        <f>_xlfn.XLOOKUP("Full Capacity-Close Hiring",tbl_hiring[case_label],tbl_hiring[cumulative_hires])</f>
        <v/>
      </c>
    </row>
    <row r="14" ht="14" customHeight="1">
      <c r="B14" s="19" t="inlineStr">
        <is>
          <t>Board-policy average monthly burn</t>
        </is>
      </c>
      <c r="C14" s="54">
        <f>_xlfn.XLOOKUP("No Incremental GTM Hiring",tbl_hiring[case_label],tbl_hiring[policy_avg_monthly_burn])</f>
        <v/>
      </c>
      <c r="D14" s="54">
        <f>_xlfn.XLOOKUP("Targeted / Runway-Constrained Hiring",tbl_hiring[case_label],tbl_hiring[policy_avg_monthly_burn])</f>
        <v/>
      </c>
      <c r="E14" s="54">
        <f>_xlfn.XLOOKUP("Full Capacity-Close Hiring",tbl_hiring[case_label],tbl_hiring[policy_avg_monthly_burn])</f>
        <v/>
      </c>
    </row>
    <row r="15" ht="14" customHeight="1">
      <c r="B15" s="34" t="inlineStr">
        <is>
          <t>Board-policy runway</t>
        </is>
      </c>
      <c r="C15" s="61">
        <f>_xlfn.XLOOKUP("No Incremental GTM Hiring",tbl_hiring[case_label],tbl_hiring[policy_runway_months])</f>
        <v/>
      </c>
      <c r="D15" s="61">
        <f>_xlfn.XLOOKUP("Targeted / Runway-Constrained Hiring",tbl_hiring[case_label],tbl_hiring[policy_runway_months])</f>
        <v/>
      </c>
      <c r="E15" s="61">
        <f>_xlfn.XLOOKUP("Full Capacity-Close Hiring",tbl_hiring[case_label],tbl_hiring[policy_runway_months])</f>
        <v/>
      </c>
    </row>
    <row r="16" ht="14" customHeight="1">
      <c r="B16" s="19" t="inlineStr">
        <is>
          <t>Board runway floor</t>
        </is>
      </c>
      <c r="C16" s="118">
        <f>_xlfn.XLOOKUP("No Incremental GTM Hiring",tbl_hiring[case_label],tbl_hiring[board_runway_floor_months])</f>
        <v/>
      </c>
      <c r="D16" s="118">
        <f>_xlfn.XLOOKUP("Targeted / Runway-Constrained Hiring",tbl_hiring[case_label],tbl_hiring[board_runway_floor_months])</f>
        <v/>
      </c>
      <c r="E16" s="118">
        <f>_xlfn.XLOOKUP("Full Capacity-Close Hiring",tbl_hiring[case_label],tbl_hiring[board_runway_floor_months])</f>
        <v/>
      </c>
    </row>
    <row r="17" ht="14" customHeight="1">
      <c r="B17" s="34" t="inlineStr">
        <is>
          <t>Headroom vs the floor</t>
        </is>
      </c>
      <c r="C17" s="35">
        <f>_xlfn.XLOOKUP("No Incremental GTM Hiring",tbl_hiring[case_label],tbl_hiring[headroom_months])</f>
        <v/>
      </c>
      <c r="D17" s="35">
        <f>_xlfn.XLOOKUP("Targeted / Runway-Constrained Hiring",tbl_hiring[case_label],tbl_hiring[headroom_months])</f>
        <v/>
      </c>
      <c r="E17" s="35">
        <f>_xlfn.XLOOKUP("Full Capacity-Close Hiring",tbl_hiring[case_label],tbl_hiring[headroom_months])</f>
        <v/>
      </c>
    </row>
    <row r="18" ht="14" customHeight="1">
      <c r="B18" s="19" t="inlineStr">
        <is>
          <t>Breaches the floor</t>
        </is>
      </c>
      <c r="C18" s="24">
        <f>_xlfn.XLOOKUP("No Incremental GTM Hiring",tbl_hiring[case_label],tbl_hiring[breaches_floor_flag])</f>
        <v/>
      </c>
      <c r="D18" s="24">
        <f>_xlfn.XLOOKUP("Targeted / Runway-Constrained Hiring",tbl_hiring[case_label],tbl_hiring[breaches_floor_flag])</f>
        <v/>
      </c>
      <c r="E18" s="24">
        <f>_xlfn.XLOOKUP("Full Capacity-Close Hiring",tbl_hiring[case_label],tbl_hiring[breaches_floor_flag])</f>
        <v/>
      </c>
    </row>
    <row r="19" ht="14" customHeight="1"/>
    <row r="20" ht="12.5" customHeight="1">
      <c r="B20" s="3" t="inlineStr">
        <is>
          <t>Source: fct_cash_runway_policy, fct_hiring_scenario (Phase 6).</t>
        </is>
      </c>
    </row>
    <row r="21" ht="6.5" customHeight="1"/>
    <row r="22" ht="14" customHeight="1"/>
    <row r="23" ht="17" customHeight="1">
      <c r="B23" s="119" t="inlineStr">
        <is>
          <t>B.  ECONOMIC ATTRACTIVENESS  --  the FY2027 fuller-ramp horizon</t>
        </is>
      </c>
      <c r="C23" s="6" t="n"/>
      <c r="D23" s="6" t="n"/>
      <c r="E23" s="6" t="n"/>
      <c r="F23" s="6" t="n"/>
      <c r="G23" s="6" t="n"/>
    </row>
    <row r="24" ht="12.5" customHeight="1">
      <c r="B24" s="16" t="inlineStr">
        <is>
          <t>Hires start 31 Oct 2026, so Dec-2026 is only weeks into ramp and understates the decision-relevant economics. Dec-2027 is the horizon management should judge the case on; Dec-2026 is carried below as a near-term ramp snapshot only.</t>
        </is>
      </c>
    </row>
    <row r="25" ht="6.5" customHeight="1"/>
    <row r="26" ht="14" customHeight="1">
      <c r="B26" s="17" t="inlineStr">
        <is>
          <t>Hiring case</t>
        </is>
      </c>
      <c r="C26" s="18" t="inlineStr">
        <is>
          <t>No Incremental GTM</t>
        </is>
      </c>
      <c r="D26" s="18" t="inlineStr">
        <is>
          <t>Targeted / Runway-Constrained</t>
        </is>
      </c>
      <c r="E26" s="18" t="inlineStr">
        <is>
          <t>Full Capacity-Close</t>
        </is>
      </c>
    </row>
    <row r="27" ht="14" customHeight="1">
      <c r="B27" s="34" t="inlineStr">
        <is>
          <t>Incremental Dec-2027 Exit ARR</t>
        </is>
      </c>
      <c r="C27" s="120">
        <f>_xlfn.XLOOKUP("No Incremental GTM Hiring",tbl_hiring[case_label],tbl_hiring[dec_2027_incremental_arr])</f>
        <v/>
      </c>
      <c r="D27" s="120">
        <f>_xlfn.XLOOKUP("Targeted / Runway-Constrained Hiring",tbl_hiring[case_label],tbl_hiring[dec_2027_incremental_arr])</f>
        <v/>
      </c>
      <c r="E27" s="120">
        <f>_xlfn.XLOOKUP("Full Capacity-Close Hiring",tbl_hiring[case_label],tbl_hiring[dec_2027_incremental_arr])</f>
        <v/>
      </c>
    </row>
    <row r="28" ht="14" customHeight="1">
      <c r="B28" s="34" t="inlineStr">
        <is>
          <t>Incremental cumulative cash consumed to Dec-2027</t>
        </is>
      </c>
      <c r="C28" s="120">
        <f>_xlfn.XLOOKUP("No Incremental GTM Hiring",tbl_hiring[case_label],tbl_hiring[dec_2027_incremental_cash])</f>
        <v/>
      </c>
      <c r="D28" s="120">
        <f>_xlfn.XLOOKUP("Targeted / Runway-Constrained Hiring",tbl_hiring[case_label],tbl_hiring[dec_2027_incremental_cash])</f>
        <v/>
      </c>
      <c r="E28" s="120">
        <f>_xlfn.XLOOKUP("Full Capacity-Close Hiring",tbl_hiring[case_label],tbl_hiring[dec_2027_incremental_cash])</f>
        <v/>
      </c>
    </row>
    <row r="29" ht="14" customHeight="1">
      <c r="B29" s="34" t="inlineStr">
        <is>
          <t>Incremental operating income, Dec-2027</t>
        </is>
      </c>
      <c r="C29" s="120">
        <f>_xlfn.XLOOKUP("No Incremental GTM Hiring",tbl_hiring[case_label],tbl_hiring[dec_2027_incremental_operating_income])</f>
        <v/>
      </c>
      <c r="D29" s="120">
        <f>_xlfn.XLOOKUP("Targeted / Runway-Constrained Hiring",tbl_hiring[case_label],tbl_hiring[dec_2027_incremental_operating_income])</f>
        <v/>
      </c>
      <c r="E29" s="120">
        <f>_xlfn.XLOOKUP("Full Capacity-Close Hiring",tbl_hiring[case_label],tbl_hiring[dec_2027_incremental_operating_income])</f>
        <v/>
      </c>
    </row>
    <row r="30" ht="12.5" customHeight="1">
      <c r="B30" s="19" t="inlineStr">
        <is>
          <t>H2 2026 New Logo productive capacity</t>
        </is>
      </c>
      <c r="C30" s="54">
        <f>_xlfn.XLOOKUP("No Incremental GTM Hiring",tbl_hiring[case_label],tbl_hiring[h2_2026_new_logo_capacity])</f>
        <v/>
      </c>
      <c r="D30" s="54">
        <f>_xlfn.XLOOKUP("Targeted / Runway-Constrained Hiring",tbl_hiring[case_label],tbl_hiring[h2_2026_new_logo_capacity])</f>
        <v/>
      </c>
      <c r="E30" s="54">
        <f>_xlfn.XLOOKUP("Full Capacity-Close Hiring",tbl_hiring[case_label],tbl_hiring[h2_2026_new_logo_capacity])</f>
        <v/>
      </c>
      <c r="I30" s="16" t="inlineStr">
        <is>
          <t>Full Capacity-Close buys incremental ARR at several times its size in cash, while pipeline -- not capacity -- is what binds New Logo ARR. Affordable is not the same question as attractive.</t>
        </is>
      </c>
    </row>
    <row r="31" ht="14" customHeight="1">
      <c r="B31" s="19" t="inlineStr">
        <is>
          <t>Binding constraint on New Logo ARR</t>
        </is>
      </c>
      <c r="C31" s="24">
        <f>_xlfn.XLOOKUP("No Incremental GTM Hiring",tbl_hiring[case_label],tbl_hiring[primary_binding_constraint])</f>
        <v/>
      </c>
      <c r="D31" s="24">
        <f>_xlfn.XLOOKUP("Targeted / Runway-Constrained Hiring",tbl_hiring[case_label],tbl_hiring[primary_binding_constraint])</f>
        <v/>
      </c>
      <c r="E31" s="24">
        <f>_xlfn.XLOOKUP("Full Capacity-Close Hiring",tbl_hiring[case_label],tbl_hiring[primary_binding_constraint])</f>
        <v/>
      </c>
    </row>
    <row r="32" ht="14" customHeight="1">
      <c r="B32" s="34" t="inlineStr">
        <is>
          <t>Incremental Dec-2027 ARR per $1 of incremental cash</t>
        </is>
      </c>
      <c r="C32" s="36">
        <f>IFERROR(_xlfn.XLOOKUP("No Incremental GTM Hiring",tbl_hiring[case_label],tbl_hiring[dec_2027_incremental_arr])/-_xlfn.XLOOKUP("No Incremental GTM Hiring",tbl_hiring[case_label],tbl_hiring[dec_2027_incremental_cash]),"n/a")</f>
        <v/>
      </c>
      <c r="D32" s="36">
        <f>IFERROR(_xlfn.XLOOKUP("Targeted / Runway-Constrained Hiring",tbl_hiring[case_label],tbl_hiring[dec_2027_incremental_arr])/-_xlfn.XLOOKUP("Targeted / Runway-Constrained Hiring",tbl_hiring[case_label],tbl_hiring[dec_2027_incremental_cash]),"n/a")</f>
        <v/>
      </c>
      <c r="E32" s="36">
        <f>IFERROR(_xlfn.XLOOKUP("Full Capacity-Close Hiring",tbl_hiring[case_label],tbl_hiring[dec_2027_incremental_arr])/-_xlfn.XLOOKUP("Full Capacity-Close Hiring",tbl_hiring[case_label],tbl_hiring[dec_2027_incremental_cash]),"n/a")</f>
        <v/>
      </c>
    </row>
    <row r="33" ht="14" customHeight="1"/>
    <row r="34" ht="17" customHeight="1">
      <c r="B34" s="5" t="inlineStr">
        <is>
          <t>Near-term Dec-2026 ramp impact -- shown separately, not the decision view</t>
        </is>
      </c>
      <c r="C34" s="6" t="n"/>
      <c r="D34" s="6" t="n"/>
      <c r="E34" s="6" t="n"/>
    </row>
    <row r="35" ht="6.5" customHeight="1"/>
    <row r="36" ht="14" customHeight="1">
      <c r="B36" s="17" t="inlineStr">
        <is>
          <t>Hiring case</t>
        </is>
      </c>
      <c r="C36" s="18" t="inlineStr">
        <is>
          <t>No Incremental GTM</t>
        </is>
      </c>
      <c r="D36" s="18" t="inlineStr">
        <is>
          <t>Targeted / Runway-Constrained</t>
        </is>
      </c>
      <c r="E36" s="18" t="inlineStr">
        <is>
          <t>Full Capacity-Close</t>
        </is>
      </c>
    </row>
    <row r="37" ht="14" customHeight="1">
      <c r="B37" s="32" t="inlineStr">
        <is>
          <t>Incremental Dec-2026 Exit ARR</t>
        </is>
      </c>
      <c r="C37" s="121">
        <f>_xlfn.XLOOKUP("No Incremental GTM Hiring",tbl_hiring[case_label],tbl_hiring[dec_2026_incremental_arr])</f>
        <v/>
      </c>
      <c r="D37" s="121">
        <f>_xlfn.XLOOKUP("Targeted / Runway-Constrained Hiring",tbl_hiring[case_label],tbl_hiring[dec_2026_incremental_arr])</f>
        <v/>
      </c>
      <c r="E37" s="121">
        <f>_xlfn.XLOOKUP("Full Capacity-Close Hiring",tbl_hiring[case_label],tbl_hiring[dec_2026_incremental_arr])</f>
        <v/>
      </c>
    </row>
    <row r="38" ht="14" customHeight="1">
      <c r="B38" s="32" t="inlineStr">
        <is>
          <t>Incremental cumulative cash consumed to Dec-2026</t>
        </is>
      </c>
      <c r="C38" s="121">
        <f>_xlfn.XLOOKUP("No Incremental GTM Hiring",tbl_hiring[case_label],tbl_hiring[dec_2026_incremental_cash])</f>
        <v/>
      </c>
      <c r="D38" s="121">
        <f>_xlfn.XLOOKUP("Targeted / Runway-Constrained Hiring",tbl_hiring[case_label],tbl_hiring[dec_2026_incremental_cash])</f>
        <v/>
      </c>
      <c r="E38" s="121">
        <f>_xlfn.XLOOKUP("Full Capacity-Close Hiring",tbl_hiring[case_label],tbl_hiring[dec_2026_incremental_cash])</f>
        <v/>
      </c>
    </row>
    <row r="39" ht="14" customHeight="1"/>
    <row r="40" ht="12.5" customHeight="1">
      <c r="B40" s="3" t="inlineStr">
        <is>
          <t>Source: fct_hiring_scenario, fct_new_logo_diagnosis (Phases 6-7). Hire counts are computed from the H2 2026 capacity gap by segment, never picked by hand.</t>
        </is>
      </c>
    </row>
    <row r="41" ht="6.5" customHeight="1"/>
    <row r="42" ht="14" customHeight="1"/>
    <row r="43" ht="17" customHeight="1">
      <c r="B43" s="5" t="inlineStr">
        <is>
          <t>Board-policy runway, every path</t>
        </is>
      </c>
      <c r="C43" s="6" t="n"/>
      <c r="D43" s="6" t="n"/>
      <c r="E43" s="6" t="n"/>
    </row>
    <row r="44" ht="6.5" customHeight="1"/>
    <row r="45" ht="14" customHeight="1">
      <c r="B45" s="17" t="inlineStr">
        <is>
          <t>Path</t>
        </is>
      </c>
      <c r="C45" s="17" t="inlineStr">
        <is>
          <t>View</t>
        </is>
      </c>
      <c r="D45" s="18" t="inlineStr">
        <is>
          <t>Policy burn / month</t>
        </is>
      </c>
      <c r="E45" s="18" t="inlineStr">
        <is>
          <t>Policy runway</t>
        </is>
      </c>
      <c r="F45" s="18" t="inlineStr">
        <is>
          <t>Headroom</t>
        </is>
      </c>
      <c r="G45" s="18" t="inlineStr">
        <is>
          <t>Breaches floor</t>
        </is>
      </c>
    </row>
    <row r="46" ht="14" customHeight="1">
      <c r="B46" s="19" t="inlineStr">
        <is>
          <t>Bear</t>
        </is>
      </c>
      <c r="C46" s="32" t="inlineStr">
        <is>
          <t>Operating scenario</t>
        </is>
      </c>
      <c r="D46" s="54" t="n">
        <v>926092.1122789808</v>
      </c>
      <c r="E46" s="114" t="n">
        <v>23.53977505148305</v>
      </c>
      <c r="F46" s="109" t="n">
        <v>-0.4602249485169452</v>
      </c>
      <c r="G46" s="24" t="inlineStr">
        <is>
          <t>Yes</t>
        </is>
      </c>
    </row>
    <row r="47" ht="14" customHeight="1">
      <c r="B47" s="19" t="inlineStr">
        <is>
          <t>Base -- No Incremental GTM Hiring</t>
        </is>
      </c>
      <c r="C47" s="32" t="inlineStr">
        <is>
          <t>Operating scenario / hiring case</t>
        </is>
      </c>
      <c r="D47" s="54" t="n">
        <v>850000</v>
      </c>
      <c r="E47" s="114" t="n">
        <v>25.64705882352941</v>
      </c>
      <c r="F47" s="109" t="n">
        <v>1.647058823529413</v>
      </c>
      <c r="G47" s="24" t="inlineStr">
        <is>
          <t>No</t>
        </is>
      </c>
    </row>
    <row r="48" ht="14" customHeight="1">
      <c r="B48" s="19" t="inlineStr">
        <is>
          <t>Bull</t>
        </is>
      </c>
      <c r="C48" s="32" t="inlineStr">
        <is>
          <t>Operating scenario</t>
        </is>
      </c>
      <c r="D48" s="54" t="n">
        <v>771318.4349855309</v>
      </c>
      <c r="E48" s="114" t="n">
        <v>28.26329439462826</v>
      </c>
      <c r="F48" s="109" t="n">
        <v>4.263294394628264</v>
      </c>
      <c r="G48" s="24" t="inlineStr">
        <is>
          <t>No</t>
        </is>
      </c>
    </row>
    <row r="49" ht="14" customHeight="1">
      <c r="B49" s="19" t="inlineStr">
        <is>
          <t>Targeted / Runway-Constrained Hiring</t>
        </is>
      </c>
      <c r="C49" s="32" t="inlineStr">
        <is>
          <t>Hiring case</t>
        </is>
      </c>
      <c r="D49" s="54" t="n">
        <v>850000</v>
      </c>
      <c r="E49" s="114" t="n">
        <v>25.64705882352941</v>
      </c>
      <c r="F49" s="109" t="n">
        <v>1.647058823529413</v>
      </c>
      <c r="G49" s="24" t="inlineStr">
        <is>
          <t>No</t>
        </is>
      </c>
    </row>
    <row r="50" ht="14" customHeight="1">
      <c r="B50" s="19" t="inlineStr">
        <is>
          <t>Full Capacity-Close Hiring</t>
        </is>
      </c>
      <c r="C50" s="32" t="inlineStr">
        <is>
          <t>Hiring case</t>
        </is>
      </c>
      <c r="D50" s="54" t="n">
        <v>883984.7124660932</v>
      </c>
      <c r="E50" s="114" t="n">
        <v>24.66105996243252</v>
      </c>
      <c r="F50" s="109" t="n">
        <v>0.6610599624325246</v>
      </c>
      <c r="G50" s="24" t="inlineStr">
        <is>
          <t>No</t>
        </is>
      </c>
    </row>
    <row r="51" ht="14" customHeight="1"/>
    <row r="52" ht="12.5" customHeight="1">
      <c r="B52" s="3" t="inlineStr">
        <is>
          <t>Source: fct_cash_runway_policy (Phase 6).</t>
        </is>
      </c>
    </row>
    <row r="53" ht="6.5" customHeight="1"/>
  </sheetData>
  <conditionalFormatting sqref="C17:E1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C27:E29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F46:F50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77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4" customHeight="1"/>
  <cols>
    <col width="1.8" customWidth="1" min="1" max="1"/>
    <col width="46" customWidth="1" min="2" max="2"/>
    <col width="15" customWidth="1" min="3" max="3"/>
    <col width="15" customWidth="1" min="4" max="4"/>
    <col width="17" customWidth="1" min="5" max="5"/>
    <col width="15" customWidth="1" min="6" max="6"/>
    <col width="15" customWidth="1" min="7" max="7"/>
    <col width="17" customWidth="1" min="8" max="8"/>
    <col width="13" customWidth="1" min="9" max="9"/>
    <col width="2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 -- SaaS accounting: deferred revenue and ASC 340-40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2.5" customHeight="1">
      <c r="B7" s="16" t="inlineStr">
        <is>
          <t>A reconciliation layer, not a replacement. It reads the frozen Phase 3-7 output and the source ledger and writes back to neither. The Board reforecast, the runway calculation and the hiring decision all continue to run on the Phase 6 P&amp;L.</t>
        </is>
      </c>
    </row>
    <row r="8" ht="14" customHeight="1"/>
    <row r="9" ht="17" customHeight="1">
      <c r="B9" s="5" t="inlineStr">
        <is>
          <t>Bookings, billings, ARR and revenue are four different metrics</t>
        </is>
      </c>
      <c r="C9" s="6" t="n"/>
      <c r="D9" s="6" t="n"/>
      <c r="E9" s="6" t="n"/>
      <c r="F9" s="6" t="n"/>
    </row>
    <row r="10" ht="12.5" customHeight="1">
      <c r="B10" s="16" t="inlineStr">
        <is>
          <t>Collapsing these into one number is the most common way a SaaS model misleads. Each row is measured on its own basis from its own model; none is derived from another.</t>
        </is>
      </c>
    </row>
    <row r="11" ht="6.5" customHeight="1"/>
    <row r="12" ht="14" customHeight="1">
      <c r="B12" s="17" t="inlineStr"/>
      <c r="C12" s="18" t="inlineStr">
        <is>
          <t>FY2024</t>
        </is>
      </c>
      <c r="D12" s="18" t="inlineStr">
        <is>
          <t>FY2025</t>
        </is>
      </c>
      <c r="E12" s="18" t="inlineStr">
        <is>
          <t>H1 2026</t>
        </is>
      </c>
    </row>
    <row r="13" ht="14" customHeight="1">
      <c r="B13" s="19" t="inlineStr">
        <is>
          <t>Bookings -- TCV</t>
        </is>
      </c>
      <c r="C13" s="20">
        <f>_xlfn.XLOOKUP("FY2024",tbl_subscription_accounting[period],tbl_subscription_accounting[bookings_tcv])</f>
        <v/>
      </c>
      <c r="D13" s="20">
        <f>_xlfn.XLOOKUP("FY2025",tbl_subscription_accounting[period],tbl_subscription_accounting[bookings_tcv])</f>
        <v/>
      </c>
      <c r="E13" s="20">
        <f>_xlfn.XLOOKUP("H1 2026",tbl_subscription_accounting[period],tbl_subscription_accounting[bookings_tcv])</f>
        <v/>
      </c>
    </row>
    <row r="14" ht="14" customHeight="1">
      <c r="B14" s="19" t="inlineStr">
        <is>
          <t>Bookings -- ACV</t>
        </is>
      </c>
      <c r="C14" s="20">
        <f>_xlfn.XLOOKUP("FY2024",tbl_subscription_accounting[period],tbl_subscription_accounting[bookings_acv])</f>
        <v/>
      </c>
      <c r="D14" s="20">
        <f>_xlfn.XLOOKUP("FY2025",tbl_subscription_accounting[period],tbl_subscription_accounting[bookings_acv])</f>
        <v/>
      </c>
      <c r="E14" s="20">
        <f>_xlfn.XLOOKUP("H1 2026",tbl_subscription_accounting[period],tbl_subscription_accounting[bookings_acv])</f>
        <v/>
      </c>
    </row>
    <row r="15" ht="14" customHeight="1">
      <c r="B15" s="19" t="inlineStr">
        <is>
          <t>Subscription billings</t>
        </is>
      </c>
      <c r="C15" s="20">
        <f>_xlfn.XLOOKUP("FY2024",tbl_subscription_accounting[period],tbl_subscription_accounting[subscription_billings])</f>
        <v/>
      </c>
      <c r="D15" s="20">
        <f>_xlfn.XLOOKUP("FY2025",tbl_subscription_accounting[period],tbl_subscription_accounting[subscription_billings])</f>
        <v/>
      </c>
      <c r="E15" s="20">
        <f>_xlfn.XLOOKUP("H1 2026",tbl_subscription_accounting[period],tbl_subscription_accounting[subscription_billings])</f>
        <v/>
      </c>
    </row>
    <row r="16" ht="14" customHeight="1">
      <c r="B16" s="34" t="inlineStr">
        <is>
          <t>Exit ARR</t>
        </is>
      </c>
      <c r="C16" s="21">
        <f>_xlfn.XLOOKUP("FY2024",tbl_subscription_accounting[period],tbl_subscription_accounting[exit_arr])</f>
        <v/>
      </c>
      <c r="D16" s="21">
        <f>_xlfn.XLOOKUP("FY2025",tbl_subscription_accounting[period],tbl_subscription_accounting[exit_arr])</f>
        <v/>
      </c>
      <c r="E16" s="21">
        <f>_xlfn.XLOOKUP("H1 2026",tbl_subscription_accounting[period],tbl_subscription_accounting[exit_arr])</f>
        <v/>
      </c>
    </row>
    <row r="17" ht="14" customHeight="1">
      <c r="B17" s="19" t="inlineStr">
        <is>
          <t>Contract-level analytical revenue</t>
        </is>
      </c>
      <c r="C17" s="20">
        <f>_xlfn.XLOOKUP("FY2024",tbl_subscription_accounting[period],tbl_subscription_accounting[contract_analytical_revenue])</f>
        <v/>
      </c>
      <c r="D17" s="20">
        <f>_xlfn.XLOOKUP("FY2025",tbl_subscription_accounting[period],tbl_subscription_accounting[contract_analytical_revenue])</f>
        <v/>
      </c>
      <c r="E17" s="20">
        <f>_xlfn.XLOOKUP("H1 2026",tbl_subscription_accounting[period],tbl_subscription_accounting[contract_analytical_revenue])</f>
        <v/>
      </c>
    </row>
    <row r="18" ht="14" customHeight="1">
      <c r="B18" s="19" t="inlineStr">
        <is>
          <t>GL subscription revenue (4000 + 4010)</t>
        </is>
      </c>
      <c r="C18" s="20">
        <f>_xlfn.XLOOKUP("FY2024",tbl_subscription_accounting[period],tbl_subscription_accounting[gl_subscription_revenue])</f>
        <v/>
      </c>
      <c r="D18" s="20">
        <f>_xlfn.XLOOKUP("FY2025",tbl_subscription_accounting[period],tbl_subscription_accounting[gl_subscription_revenue])</f>
        <v/>
      </c>
      <c r="E18" s="20">
        <f>_xlfn.XLOOKUP("H1 2026",tbl_subscription_accounting[period],tbl_subscription_accounting[gl_subscription_revenue])</f>
        <v/>
      </c>
    </row>
    <row r="19" ht="14" customHeight="1">
      <c r="B19" s="34" t="inlineStr">
        <is>
          <t>Ending deferred revenue</t>
        </is>
      </c>
      <c r="C19" s="21">
        <f>_xlfn.XLOOKUP("FY2024",tbl_subscription_accounting[period],tbl_subscription_accounting[ending_deferred_revenue])</f>
        <v/>
      </c>
      <c r="D19" s="21">
        <f>_xlfn.XLOOKUP("FY2025",tbl_subscription_accounting[period],tbl_subscription_accounting[ending_deferred_revenue])</f>
        <v/>
      </c>
      <c r="E19" s="21">
        <f>_xlfn.XLOOKUP("H1 2026",tbl_subscription_accounting[period],tbl_subscription_accounting[ending_deferred_revenue])</f>
        <v/>
      </c>
    </row>
    <row r="20" ht="14" customHeight="1">
      <c r="B20" s="19" t="inlineStr">
        <is>
          <t>Ending unbilled receivable</t>
        </is>
      </c>
      <c r="C20" s="20">
        <f>_xlfn.XLOOKUP("FY2024",tbl_subscription_accounting[period],tbl_subscription_accounting[ending_unbilled_receivable])</f>
        <v/>
      </c>
      <c r="D20" s="20">
        <f>_xlfn.XLOOKUP("FY2025",tbl_subscription_accounting[period],tbl_subscription_accounting[ending_unbilled_receivable])</f>
        <v/>
      </c>
      <c r="E20" s="20">
        <f>_xlfn.XLOOKUP("H1 2026",tbl_subscription_accounting[period],tbl_subscription_accounting[ending_unbilled_receivable])</f>
        <v/>
      </c>
    </row>
    <row r="21" ht="14" customHeight="1"/>
    <row r="22" ht="12.5" customHeight="1">
      <c r="B22" s="16" t="inlineStr">
        <is>
          <t>The contract schedule runs roughly 2-3% above the source GL: the ledger recognises a weighted lag of prior month-end ARR, the schedule recognises the current month's in-force rate. A difference in recognition convention with a stated cause -- neither series is corrected toward the other, and Phase 6 is not restated.</t>
        </is>
      </c>
    </row>
    <row r="23" ht="14" customHeight="1"/>
    <row r="24" ht="12.5" customHeight="1">
      <c r="B24" s="3" t="inlineStr">
        <is>
          <t>Source: fct_crm_bookings, fct_billings, fct_arr_forecast, fct_revenue_accounting_reconciliation, fct_deferred_revenue (Phases 5, 6 and 8).</t>
        </is>
      </c>
    </row>
    <row r="25" ht="6.5" customHeight="1"/>
    <row r="26" ht="14" customHeight="1"/>
    <row r="27" ht="17" customHeight="1">
      <c r="B27" s="117" t="inlineStr">
        <is>
          <t>Deferred revenue rollforward</t>
        </is>
      </c>
      <c r="C27" s="6" t="n"/>
      <c r="D27" s="6" t="n"/>
      <c r="E27" s="6" t="n"/>
      <c r="F27" s="6" t="n"/>
      <c r="G27" s="6" t="n"/>
      <c r="H27" s="6" t="n"/>
      <c r="I27" s="6" t="n"/>
    </row>
    <row r="28" ht="12.5" customHeight="1">
      <c r="B28" s="16" t="inlineStr">
        <is>
          <t>Beginning + billings - revenue + unbilled receivable movement = ending. There are no other lines: no true-up, no rounding line, no plug. The unbilled receivable is carried separately and is never netted into deferred revenue.</t>
        </is>
      </c>
    </row>
    <row r="29" ht="6.5" customHeight="1"/>
    <row r="30" ht="14" customHeight="1">
      <c r="B30" s="17" t="inlineStr">
        <is>
          <t>Quarter</t>
        </is>
      </c>
      <c r="C30" s="18" t="inlineStr">
        <is>
          <t>Beginning DR</t>
        </is>
      </c>
      <c r="D30" s="18" t="inlineStr">
        <is>
          <t>Billings</t>
        </is>
      </c>
      <c r="E30" s="18" t="inlineStr">
        <is>
          <t>Revenue recognised (deducted)</t>
        </is>
      </c>
      <c r="F30" s="18" t="inlineStr">
        <is>
          <t>Unbilled movement</t>
        </is>
      </c>
      <c r="G30" s="18" t="inlineStr">
        <is>
          <t>Ending DR</t>
        </is>
      </c>
      <c r="H30" s="18" t="inlineStr">
        <is>
          <t>Ending unbilled receivable</t>
        </is>
      </c>
      <c r="I30" s="18" t="inlineStr">
        <is>
          <t>Residual</t>
        </is>
      </c>
    </row>
    <row r="31" ht="14" customHeight="1">
      <c r="B31" s="19" t="inlineStr">
        <is>
          <t>2024Q1</t>
        </is>
      </c>
      <c r="C31" s="48" t="n">
        <v>5256937.09</v>
      </c>
      <c r="D31" s="48" t="n">
        <v>6718668.05</v>
      </c>
      <c r="E31" s="48" t="n">
        <v>4854374.699999998</v>
      </c>
      <c r="F31" s="48" t="n">
        <v>14456.5299999998</v>
      </c>
      <c r="G31" s="122" t="n">
        <v>7135686.970000001</v>
      </c>
      <c r="H31" s="48" t="n">
        <v>218693.9900000002</v>
      </c>
      <c r="I31" s="76">
        <f>ROUND(C31+D31-E31+F31-G31,2)</f>
        <v/>
      </c>
    </row>
    <row r="32" ht="14" customHeight="1">
      <c r="B32" s="19" t="inlineStr">
        <is>
          <t>2024Q2</t>
        </is>
      </c>
      <c r="C32" s="48" t="n">
        <v>7135686.970000001</v>
      </c>
      <c r="D32" s="48" t="n">
        <v>5136850.4</v>
      </c>
      <c r="E32" s="48" t="n">
        <v>5254093.74</v>
      </c>
      <c r="F32" s="48" t="n">
        <v>2095.25999999998</v>
      </c>
      <c r="G32" s="122" t="n">
        <v>7020538.889999998</v>
      </c>
      <c r="H32" s="48" t="n">
        <v>220789.2500000001</v>
      </c>
      <c r="I32" s="76">
        <f>ROUND(C32+D32-E32+F32-G32,2)</f>
        <v/>
      </c>
    </row>
    <row r="33" ht="14" customHeight="1">
      <c r="B33" s="19" t="inlineStr">
        <is>
          <t>2024Q3</t>
        </is>
      </c>
      <c r="C33" s="48" t="n">
        <v>7020538.889999998</v>
      </c>
      <c r="D33" s="48" t="n">
        <v>4532895.17</v>
      </c>
      <c r="E33" s="48" t="n">
        <v>5533165.25</v>
      </c>
      <c r="F33" s="48" t="n">
        <v>9303.570000000153</v>
      </c>
      <c r="G33" s="122" t="n">
        <v>6029572.379999998</v>
      </c>
      <c r="H33" s="48" t="n">
        <v>230092.8200000003</v>
      </c>
      <c r="I33" s="76">
        <f>ROUND(C33+D33-E33+F33-G33,2)</f>
        <v/>
      </c>
    </row>
    <row r="34" ht="14" customHeight="1">
      <c r="B34" s="19" t="inlineStr">
        <is>
          <t>2024Q4</t>
        </is>
      </c>
      <c r="C34" s="48" t="n">
        <v>6029572.379999998</v>
      </c>
      <c r="D34" s="48" t="n">
        <v>6523735.3</v>
      </c>
      <c r="E34" s="48" t="n">
        <v>5879791.560000001</v>
      </c>
      <c r="F34" s="48" t="n">
        <v>23987.41000000006</v>
      </c>
      <c r="G34" s="122" t="n">
        <v>6697503.529999999</v>
      </c>
      <c r="H34" s="48" t="n">
        <v>254080.2300000004</v>
      </c>
      <c r="I34" s="76">
        <f>ROUND(C34+D34-E34+F34-G34,2)</f>
        <v/>
      </c>
    </row>
    <row r="35" ht="14" customHeight="1">
      <c r="B35" s="19" t="inlineStr">
        <is>
          <t>2025Q1</t>
        </is>
      </c>
      <c r="C35" s="48" t="n">
        <v>6697503.529999999</v>
      </c>
      <c r="D35" s="48" t="n">
        <v>8222840.05</v>
      </c>
      <c r="E35" s="48" t="n">
        <v>6310786.96</v>
      </c>
      <c r="F35" s="48" t="n">
        <v>13269.76999999964</v>
      </c>
      <c r="G35" s="122" t="n">
        <v>8622826.389999999</v>
      </c>
      <c r="H35" s="48" t="n">
        <v>267350</v>
      </c>
      <c r="I35" s="76">
        <f>ROUND(C35+D35-E35+F35-G35,2)</f>
        <v/>
      </c>
    </row>
    <row r="36" ht="14" customHeight="1">
      <c r="B36" s="19" t="inlineStr">
        <is>
          <t>2025Q2</t>
        </is>
      </c>
      <c r="C36" s="48" t="n">
        <v>8622826.389999999</v>
      </c>
      <c r="D36" s="48" t="n">
        <v>6522222.889999999</v>
      </c>
      <c r="E36" s="48" t="n">
        <v>6679879.25</v>
      </c>
      <c r="F36" s="48" t="n">
        <v>12602.10000000003</v>
      </c>
      <c r="G36" s="122" t="n">
        <v>8477772.129999999</v>
      </c>
      <c r="H36" s="48" t="n">
        <v>279952.1</v>
      </c>
      <c r="I36" s="76">
        <f>ROUND(C36+D36-E36+F36-G36,2)</f>
        <v/>
      </c>
    </row>
    <row r="37" ht="14" customHeight="1">
      <c r="B37" s="19" t="inlineStr">
        <is>
          <t>2025Q3</t>
        </is>
      </c>
      <c r="C37" s="48" t="n">
        <v>8477772.129999999</v>
      </c>
      <c r="D37" s="48" t="n">
        <v>5664441.810000001</v>
      </c>
      <c r="E37" s="48" t="n">
        <v>6948279.08</v>
      </c>
      <c r="F37" s="48" t="n">
        <v>5188.730000000155</v>
      </c>
      <c r="G37" s="122" t="n">
        <v>7199123.590000001</v>
      </c>
      <c r="H37" s="48" t="n">
        <v>285140.8300000002</v>
      </c>
      <c r="I37" s="76">
        <f>ROUND(C37+D37-E37+F37-G37,2)</f>
        <v/>
      </c>
    </row>
    <row r="38" ht="14" customHeight="1">
      <c r="B38" s="19" t="inlineStr">
        <is>
          <t>2025Q4</t>
        </is>
      </c>
      <c r="C38" s="48" t="n">
        <v>7199123.590000001</v>
      </c>
      <c r="D38" s="48" t="n">
        <v>8581803.140000001</v>
      </c>
      <c r="E38" s="48" t="n">
        <v>7360834.800000001</v>
      </c>
      <c r="F38" s="48" t="n">
        <v>15847.43000000023</v>
      </c>
      <c r="G38" s="122" t="n">
        <v>8435939.359999998</v>
      </c>
      <c r="H38" s="48" t="n">
        <v>300988.2600000004</v>
      </c>
      <c r="I38" s="76">
        <f>ROUND(C38+D38-E38+F38-G38,2)</f>
        <v/>
      </c>
    </row>
    <row r="39" ht="14" customHeight="1">
      <c r="B39" s="19" t="inlineStr">
        <is>
          <t>2026Q1</t>
        </is>
      </c>
      <c r="C39" s="48" t="n">
        <v>8435939.359999998</v>
      </c>
      <c r="D39" s="48" t="n">
        <v>10747789.11</v>
      </c>
      <c r="E39" s="48" t="n">
        <v>7633041.97</v>
      </c>
      <c r="F39" s="48" t="n">
        <v>7109.839999999735</v>
      </c>
      <c r="G39" s="122" t="n">
        <v>11557796.34</v>
      </c>
      <c r="H39" s="48" t="n">
        <v>308098.1000000001</v>
      </c>
      <c r="I39" s="76">
        <f>ROUND(C39+D39-E39+F39-G39,2)</f>
        <v/>
      </c>
    </row>
    <row r="40" ht="14" customHeight="1">
      <c r="B40" s="19" t="inlineStr">
        <is>
          <t>2026Q2</t>
        </is>
      </c>
      <c r="C40" s="48" t="n">
        <v>11557796.34</v>
      </c>
      <c r="D40" s="48" t="n">
        <v>7067885.260000002</v>
      </c>
      <c r="E40" s="48" t="n">
        <v>8079773.71</v>
      </c>
      <c r="F40" s="48" t="n">
        <v>17865.61000000034</v>
      </c>
      <c r="G40" s="122" t="n">
        <v>10563773.5</v>
      </c>
      <c r="H40" s="48" t="n">
        <v>325963.7100000005</v>
      </c>
      <c r="I40" s="76">
        <f>ROUND(C40+D40-E40+F40-G40,2)</f>
        <v/>
      </c>
    </row>
    <row r="41" ht="14" customHeight="1"/>
    <row r="42" ht="12.5" customHeight="1">
      <c r="B42" s="16" t="inlineStr">
        <is>
          <t>Long-term deferred revenue is structurally zero: the longest billing period in this contract population is twelve months, so no invoice covers service more than eleven months beyond a month end. A property of the book, not an assumption.</t>
        </is>
      </c>
    </row>
    <row r="43" ht="14" customHeight="1"/>
    <row r="44" ht="12.5" customHeight="1">
      <c r="B44" s="3" t="inlineStr">
        <is>
          <t>Source: fct_deferred_revenue (Phase 8).</t>
        </is>
      </c>
    </row>
    <row r="45" ht="6.5" customHeight="1"/>
    <row r="46" ht="14" customHeight="1"/>
    <row r="47" ht="17" customHeight="1">
      <c r="B47" s="117" t="inlineStr">
        <is>
          <t>Sales commission -- earned, cash and GAAP expense (ASC 340-40)</t>
        </is>
      </c>
      <c r="C47" s="6" t="n"/>
      <c r="D47" s="6" t="n"/>
      <c r="E47" s="6" t="n"/>
      <c r="F47" s="6" t="n"/>
      <c r="G47" s="6" t="n"/>
    </row>
    <row r="48" ht="12.5" customHeight="1">
      <c r="B48" s="16" t="inlineStr">
        <is>
          <t>Three numbers, all correct and all different. 41% of earned commission is expensed as incurred and 59% capitalised, amortised straight-line over 36 months -- because renewal commission (3% on uplift alone) is not commensurate with the 9% paid to land, so the initial commission relates to the renewal periods too.</t>
        </is>
      </c>
    </row>
    <row r="49" ht="6.5" customHeight="1"/>
    <row r="50" ht="14" customHeight="1">
      <c r="B50" s="17" t="inlineStr"/>
      <c r="C50" s="18" t="inlineStr">
        <is>
          <t>FY2024</t>
        </is>
      </c>
      <c r="D50" s="18" t="inlineStr">
        <is>
          <t>FY2025</t>
        </is>
      </c>
      <c r="E50" s="18" t="inlineStr">
        <is>
          <t>H1 2026</t>
        </is>
      </c>
      <c r="F50" s="18" t="inlineStr">
        <is>
          <t>H2 2026</t>
        </is>
      </c>
      <c r="G50" s="18" t="inlineStr">
        <is>
          <t>FY2027</t>
        </is>
      </c>
    </row>
    <row r="51" ht="14" customHeight="1">
      <c r="B51" s="19" t="inlineStr">
        <is>
          <t>Beginning commission asset</t>
        </is>
      </c>
      <c r="C51" s="48">
        <f>_xlfn.XLOOKUP("FY2024",tbl_commission[period],tbl_commission[beginning_commission_asset])</f>
        <v/>
      </c>
      <c r="D51" s="48">
        <f>_xlfn.XLOOKUP("FY2025",tbl_commission[period],tbl_commission[beginning_commission_asset])</f>
        <v/>
      </c>
      <c r="E51" s="48">
        <f>_xlfn.XLOOKUP("H1 2026",tbl_commission[period],tbl_commission[beginning_commission_asset])</f>
        <v/>
      </c>
      <c r="F51" s="48">
        <f>_xlfn.XLOOKUP("H2 2026",tbl_commission[period],tbl_commission[beginning_commission_asset])</f>
        <v/>
      </c>
      <c r="G51" s="48">
        <f>_xlfn.XLOOKUP("FY2027",tbl_commission[period],tbl_commission[beginning_commission_asset])</f>
        <v/>
      </c>
    </row>
    <row r="52" ht="14" customHeight="1">
      <c r="B52" s="19" t="inlineStr">
        <is>
          <t>Commission earned</t>
        </is>
      </c>
      <c r="C52" s="48">
        <f>_xlfn.XLOOKUP("FY2024",tbl_commission[period],tbl_commission[commission_earned])</f>
        <v/>
      </c>
      <c r="D52" s="48">
        <f>_xlfn.XLOOKUP("FY2025",tbl_commission[period],tbl_commission[commission_earned])</f>
        <v/>
      </c>
      <c r="E52" s="48">
        <f>_xlfn.XLOOKUP("H1 2026",tbl_commission[period],tbl_commission[commission_earned])</f>
        <v/>
      </c>
      <c r="F52" s="48">
        <f>_xlfn.XLOOKUP("H2 2026",tbl_commission[period],tbl_commission[commission_earned])</f>
        <v/>
      </c>
      <c r="G52" s="48">
        <f>_xlfn.XLOOKUP("FY2027",tbl_commission[period],tbl_commission[commission_earned])</f>
        <v/>
      </c>
    </row>
    <row r="53" ht="14" customHeight="1">
      <c r="B53" s="19" t="inlineStr">
        <is>
          <t>Expensed as incurred (41%)</t>
        </is>
      </c>
      <c r="C53" s="48">
        <f>_xlfn.XLOOKUP("FY2024",tbl_commission[period],tbl_commission[immediate_expense])</f>
        <v/>
      </c>
      <c r="D53" s="48">
        <f>_xlfn.XLOOKUP("FY2025",tbl_commission[period],tbl_commission[immediate_expense])</f>
        <v/>
      </c>
      <c r="E53" s="48">
        <f>_xlfn.XLOOKUP("H1 2026",tbl_commission[period],tbl_commission[immediate_expense])</f>
        <v/>
      </c>
      <c r="F53" s="48">
        <f>_xlfn.XLOOKUP("H2 2026",tbl_commission[period],tbl_commission[immediate_expense])</f>
        <v/>
      </c>
      <c r="G53" s="48">
        <f>_xlfn.XLOOKUP("FY2027",tbl_commission[period],tbl_commission[immediate_expense])</f>
        <v/>
      </c>
    </row>
    <row r="54" ht="14" customHeight="1">
      <c r="B54" s="19" t="inlineStr">
        <is>
          <t>Capitalised (59%)</t>
        </is>
      </c>
      <c r="C54" s="48">
        <f>_xlfn.XLOOKUP("FY2024",tbl_commission[period],tbl_commission[capitalised_commission])</f>
        <v/>
      </c>
      <c r="D54" s="48">
        <f>_xlfn.XLOOKUP("FY2025",tbl_commission[period],tbl_commission[capitalised_commission])</f>
        <v/>
      </c>
      <c r="E54" s="48">
        <f>_xlfn.XLOOKUP("H1 2026",tbl_commission[period],tbl_commission[capitalised_commission])</f>
        <v/>
      </c>
      <c r="F54" s="48">
        <f>_xlfn.XLOOKUP("H2 2026",tbl_commission[period],tbl_commission[capitalised_commission])</f>
        <v/>
      </c>
      <c r="G54" s="48">
        <f>_xlfn.XLOOKUP("FY2027",tbl_commission[period],tbl_commission[capitalised_commission])</f>
        <v/>
      </c>
    </row>
    <row r="55" ht="14" customHeight="1">
      <c r="B55" s="19" t="inlineStr">
        <is>
          <t>Amortisation of prior cohorts</t>
        </is>
      </c>
      <c r="C55" s="48">
        <f>_xlfn.XLOOKUP("FY2024",tbl_commission[period],tbl_commission[commission_amortisation])</f>
        <v/>
      </c>
      <c r="D55" s="48">
        <f>_xlfn.XLOOKUP("FY2025",tbl_commission[period],tbl_commission[commission_amortisation])</f>
        <v/>
      </c>
      <c r="E55" s="48">
        <f>_xlfn.XLOOKUP("H1 2026",tbl_commission[period],tbl_commission[commission_amortisation])</f>
        <v/>
      </c>
      <c r="F55" s="48">
        <f>_xlfn.XLOOKUP("H2 2026",tbl_commission[period],tbl_commission[commission_amortisation])</f>
        <v/>
      </c>
      <c r="G55" s="48">
        <f>_xlfn.XLOOKUP("FY2027",tbl_commission[period],tbl_commission[commission_amortisation])</f>
        <v/>
      </c>
    </row>
    <row r="56" ht="14" customHeight="1">
      <c r="B56" s="34" t="inlineStr">
        <is>
          <t>GAAP commission expense</t>
        </is>
      </c>
      <c r="C56" s="33">
        <f>_xlfn.XLOOKUP("FY2024",tbl_commission[period],tbl_commission[gaap_commission_expense])</f>
        <v/>
      </c>
      <c r="D56" s="33">
        <f>_xlfn.XLOOKUP("FY2025",tbl_commission[period],tbl_commission[gaap_commission_expense])</f>
        <v/>
      </c>
      <c r="E56" s="33">
        <f>_xlfn.XLOOKUP("H1 2026",tbl_commission[period],tbl_commission[gaap_commission_expense])</f>
        <v/>
      </c>
      <c r="F56" s="33">
        <f>_xlfn.XLOOKUP("H2 2026",tbl_commission[period],tbl_commission[gaap_commission_expense])</f>
        <v/>
      </c>
      <c r="G56" s="33">
        <f>_xlfn.XLOOKUP("FY2027",tbl_commission[period],tbl_commission[gaap_commission_expense])</f>
        <v/>
      </c>
    </row>
    <row r="57" ht="14" customHeight="1">
      <c r="B57" s="19" t="inlineStr">
        <is>
          <t>Commission paid in cash</t>
        </is>
      </c>
      <c r="C57" s="48">
        <f>_xlfn.XLOOKUP("FY2024",tbl_commission[period],tbl_commission[commission_paid_cash])</f>
        <v/>
      </c>
      <c r="D57" s="48">
        <f>_xlfn.XLOOKUP("FY2025",tbl_commission[period],tbl_commission[commission_paid_cash])</f>
        <v/>
      </c>
      <c r="E57" s="48">
        <f>_xlfn.XLOOKUP("H1 2026",tbl_commission[period],tbl_commission[commission_paid_cash])</f>
        <v/>
      </c>
      <c r="F57" s="48">
        <f>_xlfn.XLOOKUP("H2 2026",tbl_commission[period],tbl_commission[commission_paid_cash])</f>
        <v/>
      </c>
      <c r="G57" s="48">
        <f>_xlfn.XLOOKUP("FY2027",tbl_commission[period],tbl_commission[commission_paid_cash])</f>
        <v/>
      </c>
    </row>
    <row r="58" ht="14" customHeight="1">
      <c r="B58" s="34" t="inlineStr">
        <is>
          <t>Ending commission asset</t>
        </is>
      </c>
      <c r="C58" s="33">
        <f>_xlfn.XLOOKUP("FY2024",tbl_commission[period],tbl_commission[ending_commission_asset])</f>
        <v/>
      </c>
      <c r="D58" s="33">
        <f>_xlfn.XLOOKUP("FY2025",tbl_commission[period],tbl_commission[ending_commission_asset])</f>
        <v/>
      </c>
      <c r="E58" s="33">
        <f>_xlfn.XLOOKUP("H1 2026",tbl_commission[period],tbl_commission[ending_commission_asset])</f>
        <v/>
      </c>
      <c r="F58" s="33">
        <f>_xlfn.XLOOKUP("H2 2026",tbl_commission[period],tbl_commission[ending_commission_asset])</f>
        <v/>
      </c>
      <c r="G58" s="33">
        <f>_xlfn.XLOOKUP("FY2027",tbl_commission[period],tbl_commission[ending_commission_asset])</f>
        <v/>
      </c>
    </row>
    <row r="59" ht="14" customHeight="1"/>
    <row r="60" ht="12.5" customHeight="1">
      <c r="B60" s="16" t="inlineStr">
        <is>
          <t>P&amp;L expense reconciled, asset analytically derived. Immediate expense ties to account 6030 and amortisation to account 6040 to the cent in every actual month; the asset is the arithmetic consequence of those two reconciled flows, because fact_gl_actuals is a P&amp;L extract and the source carries no balance sheet at all.</t>
        </is>
      </c>
    </row>
    <row r="61" ht="14" customHeight="1"/>
    <row r="62" ht="12.5" customHeight="1">
      <c r="B62" s="16" t="inlineStr">
        <is>
          <t>Capitalisation is a timing effect, not a saving: it moves when the expense is recognised, not whether it is paid. Cash commission is carried on the same rows precisely so the two cannot be conflated.</t>
        </is>
      </c>
    </row>
    <row r="63" ht="14" customHeight="1"/>
    <row r="64" ht="12.5" customHeight="1">
      <c r="B64" s="3" t="inlineStr">
        <is>
          <t>Source: fct_commission_asset, path Base (Phase 8).</t>
        </is>
      </c>
    </row>
    <row r="65" ht="6.5" customHeight="1"/>
    <row r="66" ht="14" customHeight="1"/>
    <row r="67" ht="17" customHeight="1">
      <c r="B67" s="117" t="inlineStr">
        <is>
          <t>The accounting adjustment to the Phase 6 forecast, and its size</t>
        </is>
      </c>
      <c r="C67" s="6" t="n"/>
      <c r="D67" s="6" t="n"/>
      <c r="E67" s="6" t="n"/>
      <c r="F67" s="6" t="n"/>
    </row>
    <row r="68" ht="12.5" customHeight="1">
      <c r="B68" s="16" t="inlineStr">
        <is>
          <t>Zero across every actual month by construction -- in actual months the schedule reproduces the ledger rather than restating it. In the forecast the adjustment is the amortisation difference alone: a real cohort rollforward against Phase 6's flat run rate.</t>
        </is>
      </c>
    </row>
    <row r="69" ht="6.5" customHeight="1"/>
    <row r="70" ht="14" customHeight="1">
      <c r="B70" s="17" t="inlineStr">
        <is>
          <t>Period</t>
        </is>
      </c>
      <c r="C70" s="18" t="inlineStr">
        <is>
          <t>Commission accounting adjustment</t>
        </is>
      </c>
      <c r="D70" s="18" t="inlineStr">
        <is>
          <t>Phase 6 total revenue</t>
        </is>
      </c>
      <c r="E70" s="18" t="inlineStr">
        <is>
          <t>Adjustment as % of revenue</t>
        </is>
      </c>
      <c r="F70" s="18" t="inlineStr">
        <is>
          <t>Largest single month</t>
        </is>
      </c>
    </row>
    <row r="71" ht="14" customHeight="1">
      <c r="B71" s="19" t="inlineStr">
        <is>
          <t>All actual months</t>
        </is>
      </c>
      <c r="C71" s="60" t="n">
        <v>0.0214995833521243</v>
      </c>
      <c r="D71" s="20" t="n">
        <v>64154559.15999999</v>
      </c>
      <c r="E71" s="123" t="n">
        <v>3.351216754292526e-10</v>
      </c>
      <c r="F71" s="124" t="n">
        <v>0.0161567500035744</v>
      </c>
    </row>
    <row r="72" ht="14" customHeight="1">
      <c r="B72" s="19" t="inlineStr">
        <is>
          <t>H2 2026</t>
        </is>
      </c>
      <c r="C72" s="60" t="n">
        <v>22823.8937889477</v>
      </c>
      <c r="D72" s="20" t="n">
        <v>17095636.19165137</v>
      </c>
      <c r="E72" s="123" t="n">
        <v>0.00133507133241954</v>
      </c>
      <c r="F72" s="124" t="n">
        <v>5877.783637409826</v>
      </c>
    </row>
    <row r="73" ht="14" customHeight="1">
      <c r="B73" s="19" t="inlineStr">
        <is>
          <t>FY2027</t>
        </is>
      </c>
      <c r="C73" s="60" t="n">
        <v>85829.30891112516</v>
      </c>
      <c r="D73" s="20" t="n">
        <v>37709181.32500916</v>
      </c>
      <c r="E73" s="123" t="n">
        <v>0.002276085183907246</v>
      </c>
      <c r="F73" s="124" t="n">
        <v>8272.468434771654</v>
      </c>
    </row>
    <row r="74" ht="14" customHeight="1"/>
    <row r="75" ht="12.5" customHeight="1">
      <c r="B75" s="16" t="inlineStr">
        <is>
          <t>The adjustment is immaterial, and that is the finding rather than a disappointment. At roughly $0.7M of commission earned a year against $33M of ARR, commission capitalisation is a real mechanic with a negligible P&amp;L effect. This tab does not replace the official forecast.</t>
        </is>
      </c>
    </row>
    <row r="76" ht="14" customHeight="1"/>
    <row r="77" ht="12.5" customHeight="1">
      <c r="B77" s="3" t="inlineStr">
        <is>
          <t>Source: fct_accounting_enhanced_pnl (Phase 8).</t>
        </is>
      </c>
    </row>
    <row r="78" ht="6.5" customHeight="1"/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43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4" customHeight="1"/>
  <cols>
    <col width="1.8" customWidth="1" min="1" max="1"/>
    <col width="46" customWidth="1" min="2" max="2"/>
    <col width="18" customWidth="1" min="3" max="3"/>
    <col width="17" customWidth="1" min="4" max="4"/>
    <col width="82" customWidth="1" min="5" max="5"/>
    <col width="21" customWidth="1" min="6" max="6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 -- assumptions and methodology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7" customHeight="1">
      <c r="B7" s="5" t="inlineStr">
        <is>
          <t>Decision-driving assumptions</t>
        </is>
      </c>
      <c r="C7" s="6" t="n"/>
      <c r="D7" s="6" t="n"/>
      <c r="E7" s="6" t="n"/>
      <c r="F7" s="6" t="n"/>
    </row>
    <row r="8" ht="12.5" customHeight="1">
      <c r="B8" s="16" t="inlineStr">
        <is>
          <t>The assumptions a reviewer would actually challenge, not a dump of every configuration key. Values are read from config/assumptions.yml, config/commentary_rules.yml and the approved marts on every build, so they cannot drift out of step with the numbers.</t>
        </is>
      </c>
    </row>
    <row r="9" ht="6.5" customHeight="1"/>
    <row r="10" ht="14" customHeight="1">
      <c r="B10" s="17" t="inlineStr">
        <is>
          <t>Assumption</t>
        </is>
      </c>
      <c r="C10" s="17" t="inlineStr">
        <is>
          <t>Value</t>
        </is>
      </c>
      <c r="D10" s="17" t="inlineStr">
        <is>
          <t>Unit</t>
        </is>
      </c>
      <c r="E10" s="17" t="inlineStr">
        <is>
          <t>Source / rationale</t>
        </is>
      </c>
      <c r="F10" s="17" t="inlineStr">
        <is>
          <t>Type</t>
        </is>
      </c>
    </row>
    <row r="11" ht="14" customHeight="1">
      <c r="B11" s="19" t="inlineStr">
        <is>
          <t>Reporting date</t>
        </is>
      </c>
      <c r="C11" s="116" t="inlineStr">
        <is>
          <t>30 June 2026</t>
        </is>
      </c>
      <c r="D11" s="32" t="inlineStr">
        <is>
          <t>date</t>
        </is>
      </c>
      <c r="E11" s="32" t="inlineStr">
        <is>
          <t>config: periods.reporting_date -- the FY2026 Q2 close</t>
        </is>
      </c>
      <c r="F11" s="34" t="inlineStr">
        <is>
          <t>Frozen Phase 1</t>
        </is>
      </c>
    </row>
    <row r="12" ht="14" customHeight="1">
      <c r="B12" s="19" t="inlineStr">
        <is>
          <t>Forecast cutover (first forecast month)</t>
        </is>
      </c>
      <c r="C12" s="116" t="inlineStr">
        <is>
          <t>31 July 2026</t>
        </is>
      </c>
      <c r="D12" s="32" t="inlineStr">
        <is>
          <t>date</t>
        </is>
      </c>
      <c r="E12" s="32" t="inlineStr">
        <is>
          <t>config: forecast.horizon.reforecast_start; Jan-Jun 2026 stays realised actual</t>
        </is>
      </c>
      <c r="F12" s="34" t="inlineStr">
        <is>
          <t>Frozen Phase 1</t>
        </is>
      </c>
    </row>
    <row r="13" ht="14" customHeight="1">
      <c r="B13" s="19" t="inlineStr">
        <is>
          <t>Budget version being explained</t>
        </is>
      </c>
      <c r="C13" s="116" t="inlineStr">
        <is>
          <t>FY2026-Board-Approved</t>
        </is>
      </c>
      <c r="D13" s="32" t="inlineStr">
        <is>
          <t>text</t>
        </is>
      </c>
      <c r="E13" s="32" t="inlineStr">
        <is>
          <t>config: periods.budget_version, locked 15 Dec 2025</t>
        </is>
      </c>
      <c r="F13" s="34" t="inlineStr">
        <is>
          <t>Frozen Phase 1</t>
        </is>
      </c>
    </row>
    <row r="14" ht="14" customHeight="1">
      <c r="B14" s="19" t="inlineStr">
        <is>
          <t>Board decision month</t>
        </is>
      </c>
      <c r="C14" s="116" t="inlineStr">
        <is>
          <t>30 September 2026</t>
        </is>
      </c>
      <c r="D14" s="32" t="inlineStr">
        <is>
          <t>date</t>
        </is>
      </c>
      <c r="E14" s="32" t="inlineStr">
        <is>
          <t>config: forecast.horizon.board_decision_month</t>
        </is>
      </c>
      <c r="F14" s="34" t="inlineStr">
        <is>
          <t>Frozen Phase 1</t>
        </is>
      </c>
    </row>
    <row r="15" ht="14" customHeight="1">
      <c r="B15" s="19" t="inlineStr">
        <is>
          <t>Open-requisition assumed fill date</t>
        </is>
      </c>
      <c r="C15" s="125" t="inlineStr">
        <is>
          <t>31 August 2026</t>
        </is>
      </c>
      <c r="D15" s="32" t="inlineStr">
        <is>
          <t>date</t>
        </is>
      </c>
      <c r="E15" s="32" t="inlineStr">
        <is>
          <t>config: forecast.open_req_assumed_fill_date -- one dated fill for every currently open req, scenario-invariant</t>
        </is>
      </c>
      <c r="F15" s="126" t="inlineStr">
        <is>
          <t>Management assumption</t>
        </is>
      </c>
    </row>
    <row r="16" ht="14" customHeight="1">
      <c r="B16" s="19" t="inlineStr">
        <is>
          <t>Incremental sales hire start date</t>
        </is>
      </c>
      <c r="C16" s="125" t="inlineStr">
        <is>
          <t>31 October 2026</t>
        </is>
      </c>
      <c r="D16" s="32" t="inlineStr">
        <is>
          <t>date</t>
        </is>
      </c>
      <c r="E16" s="32" t="inlineStr">
        <is>
          <t>config: forecast.horizon.incremental_hire_start_month -- one month after the September Board decision</t>
        </is>
      </c>
      <c r="F16" s="126" t="inlineStr">
        <is>
          <t>Management assumption</t>
        </is>
      </c>
    </row>
    <row r="17" ht="14" customHeight="1">
      <c r="B17" s="19" t="inlineStr">
        <is>
          <t>New Logo win rate, Base (by segment)</t>
        </is>
      </c>
      <c r="C17" s="116" t="inlineStr">
        <is>
          <t>12% - 26%</t>
        </is>
      </c>
      <c r="D17" s="32" t="inlineStr">
        <is>
          <t>rate</t>
        </is>
      </c>
      <c r="E17" s="32" t="inlineStr">
        <is>
          <t>int_forecast_drivers -- trailing-12-month New Logo win rate by segment</t>
        </is>
      </c>
      <c r="F17" s="127" t="inlineStr">
        <is>
          <t>Historical derivation</t>
        </is>
      </c>
    </row>
    <row r="18" ht="14" customHeight="1">
      <c r="B18" s="19" t="inlineStr">
        <is>
          <t>Forward pipeline creation, Base (by segment)</t>
        </is>
      </c>
      <c r="C18" s="116" t="inlineStr">
        <is>
          <t>$472k - $797k / month</t>
        </is>
      </c>
      <c r="D18" s="32" t="inlineStr">
        <is>
          <t>USD ACV / month</t>
        </is>
      </c>
      <c r="E18" s="32" t="inlineStr">
        <is>
          <t>int_forecast_drivers -- trailing-12-month monthly New Logo pipeline creation ACV, for months beyond the current CRM snapshot</t>
        </is>
      </c>
      <c r="F18" s="127" t="inlineStr">
        <is>
          <t>Historical derivation</t>
        </is>
      </c>
    </row>
    <row r="19" ht="14" customHeight="1">
      <c r="B19" s="19" t="inlineStr">
        <is>
          <t>Attainment multiplier (Bear / Base / Bull)</t>
        </is>
      </c>
      <c r="C19" s="125" t="inlineStr">
        <is>
          <t>0.85 / 1.0 / 1.15</t>
        </is>
      </c>
      <c r="D19" s="32" t="inlineStr">
        <is>
          <t>multiplier</t>
        </is>
      </c>
      <c r="E19" s="32" t="inlineStr">
        <is>
          <t>config: forecast.scenario_multipliers.attainment -- applied to Phase 5's derived expected attainment</t>
        </is>
      </c>
      <c r="F19" s="126" t="inlineStr">
        <is>
          <t>Management assumption</t>
        </is>
      </c>
    </row>
    <row r="20" ht="14" customHeight="1">
      <c r="B20" s="19" t="inlineStr">
        <is>
          <t>Win-rate multiplier (Bear / Base / Bull)</t>
        </is>
      </c>
      <c r="C20" s="125" t="inlineStr">
        <is>
          <t>0.85 / 1.0 / 1.15</t>
        </is>
      </c>
      <c r="D20" s="32" t="inlineStr">
        <is>
          <t>multiplier</t>
        </is>
      </c>
      <c r="E20" s="32" t="inlineStr">
        <is>
          <t>config: forecast.scenario_multipliers.win_rate</t>
        </is>
      </c>
      <c r="F20" s="126" t="inlineStr">
        <is>
          <t>Management assumption</t>
        </is>
      </c>
    </row>
    <row r="21" ht="14" customHeight="1">
      <c r="B21" s="19" t="inlineStr">
        <is>
          <t>Pipeline-creation multiplier (Bear / Base / Bull)</t>
        </is>
      </c>
      <c r="C21" s="125" t="inlineStr">
        <is>
          <t>0.8 / 1.0 / 1.25</t>
        </is>
      </c>
      <c r="D21" s="32" t="inlineStr">
        <is>
          <t>multiplier</t>
        </is>
      </c>
      <c r="E21" s="32" t="inlineStr">
        <is>
          <t>config: forecast.scenario_multipliers.pipeline_creation</t>
        </is>
      </c>
      <c r="F21" s="126" t="inlineStr">
        <is>
          <t>Management assumption</t>
        </is>
      </c>
    </row>
    <row r="22" ht="14" customHeight="1">
      <c r="B22" s="19" t="inlineStr">
        <is>
          <t>Retention severity (Bear / Base / Bull)</t>
        </is>
      </c>
      <c r="C22" s="125" t="inlineStr">
        <is>
          <t>1.2 / 1.0 / 0.85</t>
        </is>
      </c>
      <c r="D22" s="32" t="inlineStr">
        <is>
          <t>multiplier</t>
        </is>
      </c>
      <c r="E22" s="32" t="inlineStr">
        <is>
          <t>config: forecast.scenario_multipliers.retention_severity -- &gt;1 is worse churn and contraction</t>
        </is>
      </c>
      <c r="F22" s="126" t="inlineStr">
        <is>
          <t>Management assumption</t>
        </is>
      </c>
    </row>
    <row r="23" ht="14" customHeight="1">
      <c r="B23" s="19" t="inlineStr">
        <is>
          <t>Expansion multiplier (Bear / Base / Bull)</t>
        </is>
      </c>
      <c r="C23" s="125" t="inlineStr">
        <is>
          <t>0.85 / 1.0 / 1.2</t>
        </is>
      </c>
      <c r="D23" s="32" t="inlineStr">
        <is>
          <t>multiplier</t>
        </is>
      </c>
      <c r="E23" s="32" t="inlineStr">
        <is>
          <t>config: forecast.scenario_multipliers.expansion</t>
        </is>
      </c>
      <c r="F23" s="126" t="inlineStr">
        <is>
          <t>Management assumption</t>
        </is>
      </c>
    </row>
    <row r="24" ht="14" customHeight="1">
      <c r="B24" s="19" t="inlineStr">
        <is>
          <t>Sales commission rates (New Logo / Expansion / Renewal Uplift)</t>
        </is>
      </c>
      <c r="C24" s="125" t="inlineStr">
        <is>
          <t>9% / 6% / 3%</t>
        </is>
      </c>
      <c r="D24" s="32" t="inlineStr">
        <is>
          <t>% of ACV</t>
        </is>
      </c>
      <c r="E24" s="32" t="inlineStr">
        <is>
          <t>config: sales_reps.commission_rate_* -- the approved rate card</t>
        </is>
      </c>
      <c r="F24" s="128" t="inlineStr">
        <is>
          <t>Accounting policy</t>
        </is>
      </c>
    </row>
    <row r="25" ht="14" customHeight="1">
      <c r="B25" s="19" t="inlineStr">
        <is>
          <t>Commission expensed as incurred</t>
        </is>
      </c>
      <c r="C25" s="129" t="n">
        <v>0.41</v>
      </c>
      <c r="D25" s="32" t="inlineStr">
        <is>
          <t>share of earned</t>
        </is>
      </c>
      <c r="E25" s="32" t="inlineStr">
        <is>
          <t>config: gl.commission_expensed_share -- the frozen entity policy rate the ledger itself applies</t>
        </is>
      </c>
      <c r="F25" s="128" t="inlineStr">
        <is>
          <t>Accounting policy</t>
        </is>
      </c>
    </row>
    <row r="26" ht="14" customHeight="1">
      <c r="B26" s="19" t="inlineStr">
        <is>
          <t>Commission capitalised (ASC 340-40)</t>
        </is>
      </c>
      <c r="C26" s="129" t="n">
        <v>0.59</v>
      </c>
      <c r="D26" s="32" t="inlineStr">
        <is>
          <t>share of earned</t>
        </is>
      </c>
      <c r="E26" s="32" t="inlineStr">
        <is>
          <t>the complement of the expensed share; incremental costs of obtaining a contract, ASC 340-40-25-1</t>
        </is>
      </c>
      <c r="F26" s="128" t="inlineStr">
        <is>
          <t>Accounting policy</t>
        </is>
      </c>
    </row>
    <row r="27" ht="14" customHeight="1">
      <c r="B27" s="19" t="inlineStr">
        <is>
          <t>Commission amortisation useful life</t>
        </is>
      </c>
      <c r="C27" s="130" t="n">
        <v>36</v>
      </c>
      <c r="D27" s="32" t="inlineStr">
        <is>
          <t>months</t>
        </is>
      </c>
      <c r="E27" s="32" t="inlineStr">
        <is>
          <t>config: gl.commission_amortisation_months -- renewal commission is not commensurate with the initial commission, ASC 340-40-35-1</t>
        </is>
      </c>
      <c r="F27" s="128" t="inlineStr">
        <is>
          <t>Accounting policy</t>
        </is>
      </c>
    </row>
    <row r="28" ht="14" customHeight="1">
      <c r="B28" s="19" t="inlineStr">
        <is>
          <t>Subscription revenue recognition lag</t>
        </is>
      </c>
      <c r="C28" s="116" t="inlineStr">
        <is>
          <t>55% M-1 / 45% M-2</t>
        </is>
      </c>
      <c r="D28" s="32" t="inlineStr">
        <is>
          <t>weights</t>
        </is>
      </c>
      <c r="E28" s="32" t="inlineStr">
        <is>
          <t>config: gl.subscription_revenue_lag_weights -- the ledger's own convention, reused unchanged in the forecast</t>
        </is>
      </c>
      <c r="F28" s="34" t="inlineStr">
        <is>
          <t>Frozen Phase 1</t>
        </is>
      </c>
    </row>
    <row r="29" ht="14" customHeight="1">
      <c r="B29" s="19" t="inlineStr">
        <is>
          <t>Collections curve (months 0-3)</t>
        </is>
      </c>
      <c r="C29" s="116" t="inlineStr">
        <is>
          <t>18% / 46% / 28% / 8%</t>
        </is>
      </c>
      <c r="D29" s="32" t="inlineStr">
        <is>
          <t>share of billings</t>
        </is>
      </c>
      <c r="E29" s="32" t="inlineStr">
        <is>
          <t>config: cash.collections_curve, consistent with the 42-day DSO</t>
        </is>
      </c>
      <c r="F29" s="34" t="inlineStr">
        <is>
          <t>Frozen Phase 1</t>
        </is>
      </c>
    </row>
    <row r="30" ht="14" customHeight="1">
      <c r="B30" s="19" t="inlineStr">
        <is>
          <t>Cash at 30 June 2026</t>
        </is>
      </c>
      <c r="C30" s="131" t="n">
        <v>21800000</v>
      </c>
      <c r="D30" s="32" t="inlineStr">
        <is>
          <t>USD</t>
        </is>
      </c>
      <c r="E30" s="32" t="inlineStr">
        <is>
          <t>config: cash.cash_2026_06 -- the single cash anchor the source data supports</t>
        </is>
      </c>
      <c r="F30" s="34" t="inlineStr">
        <is>
          <t>Frozen Phase 1</t>
        </is>
      </c>
    </row>
    <row r="31" ht="14" customHeight="1">
      <c r="B31" s="19" t="inlineStr">
        <is>
          <t>Approved FY2027 average monthly burn</t>
        </is>
      </c>
      <c r="C31" s="131" t="n">
        <v>850000</v>
      </c>
      <c r="D31" s="32" t="inlineStr">
        <is>
          <t>USD / month</t>
        </is>
      </c>
      <c r="E31" s="32" t="inlineStr">
        <is>
          <t>fct_cash_runway_policy -- the approved planning burn used as the LEVEL; the operating cash proxy supplies deltas only</t>
        </is>
      </c>
      <c r="F31" s="34" t="inlineStr">
        <is>
          <t>Frozen Phase 1</t>
        </is>
      </c>
    </row>
    <row r="32" ht="14" customHeight="1">
      <c r="B32" s="19" t="inlineStr">
        <is>
          <t>Board runway floor</t>
        </is>
      </c>
      <c r="C32" s="114" t="n">
        <v>24</v>
      </c>
      <c r="D32" s="32" t="inlineStr">
        <is>
          <t>months</t>
        </is>
      </c>
      <c r="E32" s="32" t="inlineStr">
        <is>
          <t>fct_cash_runway_policy.board_runway_floor_months</t>
        </is>
      </c>
      <c r="F32" s="34" t="inlineStr">
        <is>
          <t>Frozen Phase 1</t>
        </is>
      </c>
    </row>
    <row r="33" ht="14" customHeight="1">
      <c r="B33" s="19" t="inlineStr">
        <is>
          <t>Sales annual attrition (planning rate)</t>
        </is>
      </c>
      <c r="C33" s="53" t="n">
        <v>0.26</v>
      </c>
      <c r="D33" s="32" t="inlineStr">
        <is>
          <t>rate / year</t>
        </is>
      </c>
      <c r="E33" s="32" t="inlineStr">
        <is>
          <t>config: sales_reps.annual_attrition -- the stated policy rate, not the generated historical series</t>
        </is>
      </c>
      <c r="F33" s="34" t="inlineStr">
        <is>
          <t>Frozen Phase 1</t>
        </is>
      </c>
    </row>
    <row r="34" ht="14" customHeight="1">
      <c r="B34" s="19" t="inlineStr">
        <is>
          <t>Backfill rate</t>
        </is>
      </c>
      <c r="C34" s="53" t="n">
        <v>0.78</v>
      </c>
      <c r="D34" s="32" t="inlineStr">
        <is>
          <t>share of departures</t>
        </is>
      </c>
      <c r="E34" s="32" t="inlineStr">
        <is>
          <t>config: requisitions.backfill_rate -- headcount decays net of backfill; Sales CAPACITY deliberately decays gross</t>
        </is>
      </c>
      <c r="F34" s="34" t="inlineStr">
        <is>
          <t>Frozen Phase 1</t>
        </is>
      </c>
    </row>
    <row r="35" ht="14" customHeight="1">
      <c r="B35" s="19" t="inlineStr">
        <is>
          <t>Materiality threshold (absolute)</t>
        </is>
      </c>
      <c r="C35" s="132" t="n">
        <v>250000</v>
      </c>
      <c r="D35" s="32" t="inlineStr">
        <is>
          <t>USD</t>
        </is>
      </c>
      <c r="E35" s="32" t="inlineStr">
        <is>
          <t>config/commentary_rules.yml -- this project's own documented reporting convention; PHASE1_SPEC does not define one</t>
        </is>
      </c>
      <c r="F35" s="126" t="inlineStr">
        <is>
          <t>Management assumption</t>
        </is>
      </c>
    </row>
    <row r="36" ht="14" customHeight="1">
      <c r="B36" s="19" t="inlineStr">
        <is>
          <t>Materiality threshold (percentage)</t>
        </is>
      </c>
      <c r="C36" s="129" t="n">
        <v>0.03</v>
      </c>
      <c r="D36" s="32" t="inlineStr">
        <is>
          <t>share of Budget</t>
        </is>
      </c>
      <c r="E36" s="32" t="inlineStr">
        <is>
          <t>config/commentary_rules.yml -- a metric is material if it clears either bar</t>
        </is>
      </c>
      <c r="F36" s="126" t="inlineStr">
        <is>
          <t>Management assumption</t>
        </is>
      </c>
    </row>
    <row r="37" ht="14" customHeight="1">
      <c r="B37" s="19" t="inlineStr">
        <is>
          <t>Executive Summary commentary items</t>
        </is>
      </c>
      <c r="C37" s="133" t="n">
        <v>5</v>
      </c>
      <c r="D37" s="32" t="inlineStr">
        <is>
          <t>count</t>
        </is>
      </c>
      <c r="E37" s="32" t="inlineStr">
        <is>
          <t>config/commentary_rules.yml: commentary.max_executive_summary_items</t>
        </is>
      </c>
      <c r="F37" s="126" t="inlineStr">
        <is>
          <t>Management assumption</t>
        </is>
      </c>
    </row>
    <row r="38" ht="14" customHeight="1"/>
    <row r="39" ht="12.5" customHeight="1">
      <c r="B39" s="16" t="inlineStr">
        <is>
          <t>Type legend -- Frozen Phase 1: fixed by the specification and never edited to make a build pass. Historical derivation: computed from actuals. Management assumption: a judgement, shown in amber. Accounting policy: the entity's own frozen policy.</t>
        </is>
      </c>
    </row>
    <row r="40" ht="14" customHeight="1"/>
    <row r="41" ht="12.5" customHeight="1">
      <c r="B41" s="16" t="inlineStr">
        <is>
          <t>Materiality and priority thresholds are this project's own documented management reporting convention. PHASE1_SPEC stops at the Phase 6 reforecast and does not define bridge-commentary materiality, so these are stated plainly rather than implied to be Board-approved policy.</t>
        </is>
      </c>
    </row>
    <row r="42" ht="14" customHeight="1"/>
    <row r="43" ht="12.5" customHeight="1">
      <c r="B43" s="3" t="inlineStr">
        <is>
          <t>Source: config/assumptions.yml, config/commentary_rules.yml, int_forecast_drivers, fct_cash_runway_policy.</t>
        </is>
      </c>
    </row>
    <row r="44" ht="6.5" customHeight="1"/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Y56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4" customHeight="1"/>
  <cols>
    <col width="1.8" customWidth="1" min="1" max="1"/>
    <col width="34" customWidth="1" min="2" max="2"/>
    <col width="11" customWidth="1" min="3" max="3"/>
    <col width="74" customWidth="1" min="4" max="4"/>
    <col width="13" customWidth="1" min="5" max="5"/>
    <col width="13" customWidth="1" min="6" max="6"/>
  </cols>
  <sheetData>
    <row r="1" ht="24" customHeight="1">
      <c r="B1" s="1" t="inlineStr">
        <is>
          <t>Helio Systems, Inc.</t>
        </is>
      </c>
    </row>
    <row r="2" ht="15" customHeight="1">
      <c r="B2" s="2" t="inlineStr">
        <is>
          <t>Q2 FY2026 Reforecast -- controls and traceability</t>
        </is>
      </c>
    </row>
    <row r="3" ht="11.5" customHeight="1">
      <c r="B3" s="3" t="inlineStr">
        <is>
          <t>Reporting date: 30 June 2026</t>
        </is>
      </c>
    </row>
    <row r="4" ht="11.5" customHeight="1">
      <c r="B4" s="3" t="inlineStr">
        <is>
          <t>Workbook v1.0  |  built 2026-08-27 05:16 UTC  |  source: data/marts (Phase 3-8 analytical layer, frozen)</t>
        </is>
      </c>
    </row>
    <row r="5" ht="5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.5" customHeight="1"/>
    <row r="7" ht="12" customHeight="1">
      <c r="B7" s="134" t="inlineStr">
        <is>
          <t>OVERALL STATUS</t>
        </is>
      </c>
    </row>
    <row r="8" ht="30" customHeight="1">
      <c r="B8" s="135">
        <f>IF(SUM(tbl_controls[Violations])=0,"READY / PASS","FAIL")</f>
        <v/>
      </c>
      <c r="C8" s="19" t="n"/>
      <c r="D8" s="19" t="n"/>
      <c r="E8" s="19" t="n"/>
      <c r="F8" s="19" t="n"/>
    </row>
    <row r="9" ht="12.5" customHeight="1">
      <c r="B9" s="32">
        <f>IF(SUM(tbl_controls[Violations])=0,"Every upstream control returned zero violation rows.","One or more upstream controls returned violation rows -- see the table below.")</f>
        <v/>
      </c>
    </row>
    <row r="10" ht="14" customHeight="1"/>
    <row r="11" ht="17" customHeight="1">
      <c r="B11" s="5" t="inlineStr">
        <is>
          <t>Upstream analytical controls</t>
        </is>
      </c>
      <c r="C11" s="6" t="n"/>
      <c r="D11" s="6" t="n"/>
      <c r="E11" s="6" t="n"/>
      <c r="F11" s="6" t="n"/>
    </row>
    <row r="12" ht="12.5" customHeight="1">
      <c r="B12" s="16" t="inlineStr">
        <is>
          <t>A control passes if and only if its query returns zero rows. Every one is re-run on every build of the analytical layer, and a violation fails the build before any mart is exported.</t>
        </is>
      </c>
    </row>
    <row r="13" ht="6.5" customHeight="1"/>
    <row r="14" ht="14" customHeight="1">
      <c r="B14" s="136" t="inlineStr">
        <is>
          <t>Control</t>
        </is>
      </c>
      <c r="C14" s="136" t="inlineStr">
        <is>
          <t>Phase</t>
        </is>
      </c>
      <c r="D14" s="136" t="inlineStr">
        <is>
          <t>What it enforces</t>
        </is>
      </c>
      <c r="E14" s="136" t="inlineStr">
        <is>
          <t>Violations</t>
        </is>
      </c>
      <c r="F14" s="136" t="inlineStr">
        <is>
          <t>Status</t>
        </is>
      </c>
    </row>
    <row r="15" ht="14" customHeight="1">
      <c r="B15" s="19" t="inlineStr">
        <is>
          <t>ctl_arr_reconciliation</t>
        </is>
      </c>
      <c r="C15" s="19" t="inlineStr">
        <is>
          <t>Phase 3</t>
        </is>
      </c>
      <c r="D15" s="19" t="inlineStr">
        <is>
          <t>ARR waterfall reconciliation, customer / segment / company grain, product-grain tie</t>
        </is>
      </c>
      <c r="E15" s="48" t="n">
        <v>0</v>
      </c>
      <c r="F15" s="19" t="inlineStr">
        <is>
          <t>PASS</t>
        </is>
      </c>
    </row>
    <row r="16" ht="14" customHeight="1">
      <c r="B16" s="19" t="inlineStr">
        <is>
          <t>ctl_retention_bounds</t>
        </is>
      </c>
      <c r="C16" s="19" t="inlineStr">
        <is>
          <t>Phase 4</t>
        </is>
      </c>
      <c r="D16" s="19" t="inlineStr">
        <is>
          <t>Retention bounds, GRR cap, cohort integrity, ATR and renewal-outcome ties</t>
        </is>
      </c>
      <c r="E16" s="48" t="n">
        <v>0</v>
      </c>
      <c r="F16" s="19" t="inlineStr">
        <is>
          <t>PASS</t>
        </is>
      </c>
    </row>
    <row r="17" ht="14" customHeight="1">
      <c r="B17" s="19" t="inlineStr">
        <is>
          <t>ctl_gtm_controls</t>
        </is>
      </c>
      <c r="C17" s="19" t="inlineStr">
        <is>
          <t>Phase 5</t>
        </is>
      </c>
      <c r="D17" s="19" t="inlineStr">
        <is>
          <t>Capacity, ramp, pipeline, win-rate, CRM-to-ARR bridge and cost-allocation checks</t>
        </is>
      </c>
      <c r="E17" s="48" t="n">
        <v>0</v>
      </c>
      <c r="F17" s="19" t="inlineStr">
        <is>
          <t>PASS</t>
        </is>
      </c>
    </row>
    <row r="18" ht="14" customHeight="1">
      <c r="B18" s="19" t="inlineStr">
        <is>
          <t>ctl_forecast_controls</t>
        </is>
      </c>
      <c r="C18" s="19" t="inlineStr">
        <is>
          <t>Phase 6</t>
        </is>
      </c>
      <c r="D18" s="19" t="inlineStr">
        <is>
          <t>Actual preservation, forecast cutover, ARR / headcount / cash rollforwards, scenarios</t>
        </is>
      </c>
      <c r="E18" s="48" t="n">
        <v>0</v>
      </c>
      <c r="F18" s="19" t="inlineStr">
        <is>
          <t>PASS</t>
        </is>
      </c>
    </row>
    <row r="19" ht="14" customHeight="1">
      <c r="B19" s="19" t="inlineStr">
        <is>
          <t>ctl_bridge_commentary</t>
        </is>
      </c>
      <c r="C19" s="19" t="inlineStr">
        <is>
          <t>Phase 7</t>
        </is>
      </c>
      <c r="D19" s="19" t="inlineStr">
        <is>
          <t>Every bridge reconciles with no plug; commentary evidence, materiality and polarity</t>
        </is>
      </c>
      <c r="E19" s="48" t="n">
        <v>0</v>
      </c>
      <c r="F19" s="19" t="inlineStr">
        <is>
          <t>PASS</t>
        </is>
      </c>
    </row>
    <row r="20" ht="14" customHeight="1">
      <c r="B20" s="19" t="inlineStr">
        <is>
          <t>ctl_accounting_enhancements</t>
        </is>
      </c>
      <c r="C20" s="19" t="inlineStr">
        <is>
          <t>Phase 8</t>
        </is>
      </c>
      <c r="D20" s="19" t="inlineStr">
        <is>
          <t>Deferred-revenue and commission-asset rollforwards, GL ties, frozen Phase 6 unchanged</t>
        </is>
      </c>
      <c r="E20" s="48" t="n">
        <v>0</v>
      </c>
      <c r="F20" s="19" t="inlineStr">
        <is>
          <t>PASS</t>
        </is>
      </c>
    </row>
    <row r="21" ht="14" customHeight="1"/>
    <row r="22" ht="12.5" customHeight="1">
      <c r="B22" s="3" t="inlineStr">
        <is>
          <t>Source: ctl_control_results.csv, written by src/run_sql.py on every build of the analytical layer.</t>
        </is>
      </c>
    </row>
    <row r="23" ht="6.5" customHeight="1"/>
    <row r="24" ht="14" customHeight="1"/>
    <row r="25" ht="17" customHeight="1">
      <c r="B25" s="5" t="inlineStr">
        <is>
          <t>Workbook-level checks</t>
        </is>
      </c>
      <c r="C25" s="6" t="n"/>
      <c r="D25" s="6" t="n"/>
      <c r="E25" s="6" t="n"/>
      <c r="F25" s="6" t="n"/>
    </row>
    <row r="26" ht="12.5" customHeight="1">
      <c r="B26" s="16" t="inlineStr">
        <is>
          <t>Checks on this artifact rather than on the analytical layer. Every one is also asserted independently by src/validate_excel_model.py and tests/test_excel_model.py.</t>
        </is>
      </c>
    </row>
    <row r="27" ht="6.5" customHeight="1"/>
    <row r="28" ht="14" customHeight="1">
      <c r="B28" s="17" t="inlineStr">
        <is>
          <t>Check</t>
        </is>
      </c>
      <c r="C28" s="17" t="inlineStr">
        <is>
          <t>Value</t>
        </is>
      </c>
      <c r="D28" s="17" t="inlineStr"/>
      <c r="E28" s="17" t="inlineStr">
        <is>
          <t>Status</t>
        </is>
      </c>
    </row>
    <row r="29" ht="14" customHeight="1">
      <c r="B29" s="19" t="inlineStr">
        <is>
          <t>Workbook version</t>
        </is>
      </c>
      <c r="C29" s="32" t="inlineStr">
        <is>
          <t>1.0</t>
        </is>
      </c>
      <c r="E29" s="128" t="inlineStr">
        <is>
          <t>PASS</t>
        </is>
      </c>
    </row>
    <row r="30" ht="14" customHeight="1">
      <c r="B30" s="19" t="inlineStr">
        <is>
          <t>Build timestamp (UTC)</t>
        </is>
      </c>
      <c r="C30" s="32" t="inlineStr">
        <is>
          <t>2026-08-27 05:16 UTC</t>
        </is>
      </c>
      <c r="E30" s="128" t="inlineStr">
        <is>
          <t>PASS</t>
        </is>
      </c>
    </row>
    <row r="31" ht="14" customHeight="1">
      <c r="B31" s="19" t="inlineStr">
        <is>
          <t>Source reporting date</t>
        </is>
      </c>
      <c r="C31" s="32" t="inlineStr">
        <is>
          <t>30 June 2026</t>
        </is>
      </c>
      <c r="E31" s="128" t="inlineStr">
        <is>
          <t>PASS</t>
        </is>
      </c>
    </row>
    <row r="32" ht="14" customHeight="1">
      <c r="B32" s="19" t="inlineStr">
        <is>
          <t>Forecast cutover</t>
        </is>
      </c>
      <c r="C32" s="32" t="inlineStr">
        <is>
          <t>Jan-Jun 2026 actual, Jul-Dec 2026 Base reforecast</t>
        </is>
      </c>
      <c r="E32" s="128" t="inlineStr">
        <is>
          <t>PASS</t>
        </is>
      </c>
    </row>
    <row r="33" ht="14" customHeight="1">
      <c r="B33" s="19" t="inlineStr">
        <is>
          <t>Source marts read</t>
        </is>
      </c>
      <c r="C33" s="32" t="inlineStr">
        <is>
          <t>32 committed CSV extracts</t>
        </is>
      </c>
      <c r="E33" s="128" t="inlineStr">
        <is>
          <t>PASS</t>
        </is>
      </c>
    </row>
    <row r="34" ht="14" customHeight="1">
      <c r="B34" s="19" t="inlineStr">
        <is>
          <t>External workbook links</t>
        </is>
      </c>
      <c r="C34" s="32" t="inlineStr">
        <is>
          <t>None -- every value is embedded</t>
        </is>
      </c>
      <c r="E34" s="128" t="inlineStr">
        <is>
          <t>PASS</t>
        </is>
      </c>
    </row>
    <row r="35" ht="14" customHeight="1">
      <c r="B35" s="19" t="inlineStr">
        <is>
          <t>Macros / VBA</t>
        </is>
      </c>
      <c r="C35" s="32" t="inlineStr">
        <is>
          <t>None -- .xlsx, not .xlsm</t>
        </is>
      </c>
      <c r="E35" s="128" t="inlineStr">
        <is>
          <t>PASS</t>
        </is>
      </c>
    </row>
    <row r="36" ht="14" customHeight="1">
      <c r="B36" s="19" t="inlineStr">
        <is>
          <t>Workbook protection</t>
        </is>
      </c>
      <c r="C36" s="32" t="inlineStr">
        <is>
          <t>None -- formulas and data are inspectable</t>
        </is>
      </c>
      <c r="E36" s="128" t="inlineStr">
        <is>
          <t>PASS</t>
        </is>
      </c>
    </row>
    <row r="37" ht="14" customHeight="1">
      <c r="B37" s="19" t="inlineStr">
        <is>
          <t>Largest bridge residual (Exit ARR / GP / OpEx / OI)</t>
        </is>
      </c>
      <c r="C37" s="32" t="inlineStr">
        <is>
          <t>$0.00 against a $1.00 tolerance</t>
        </is>
      </c>
      <c r="E37" s="128" t="inlineStr">
        <is>
          <t>PASS</t>
        </is>
      </c>
    </row>
    <row r="38" ht="14" customHeight="1">
      <c r="B38" s="19" t="inlineStr">
        <is>
          <t>Largest deferred-revenue rollforward residual</t>
        </is>
      </c>
      <c r="C38" s="32" t="inlineStr">
        <is>
          <t>$0.00</t>
        </is>
      </c>
      <c r="E38" s="128" t="inlineStr">
        <is>
          <t>PASS</t>
        </is>
      </c>
    </row>
    <row r="39" ht="14" customHeight="1">
      <c r="B39" s="19" t="inlineStr">
        <is>
          <t>Formula recalculation</t>
        </is>
      </c>
      <c r="C39" s="32" t="inlineStr">
        <is>
          <t>openpyxl does not calculate; the workbook is saved with full-calculation-on-load and Excel recalculates on open</t>
        </is>
      </c>
      <c r="E39" s="128" t="inlineStr">
        <is>
          <t>PASS</t>
        </is>
      </c>
    </row>
    <row r="40" ht="14" customHeight="1"/>
    <row r="41" ht="17" customHeight="1">
      <c r="B41" s="5" t="inlineStr">
        <is>
          <t>Full deterministic management commentary</t>
        </is>
      </c>
      <c r="C41" s="6" t="n"/>
      <c r="D41" s="6" t="n"/>
      <c r="E41" s="6" t="n"/>
      <c r="F41" s="6" t="n"/>
    </row>
    <row r="42" ht="6.5" customHeight="1"/>
    <row r="43" ht="14" customHeight="1">
      <c r="B43" s="17" t="inlineStr">
        <is>
          <t>Priority</t>
        </is>
      </c>
      <c r="C43" s="17" t="inlineStr">
        <is>
          <t>Section</t>
        </is>
      </c>
      <c r="D43" s="17" t="inlineStr">
        <is>
          <t>Headline</t>
        </is>
      </c>
    </row>
    <row r="44" ht="14" customHeight="1">
      <c r="B44" s="34">
        <f>_xlfn.XLOOKUP(1,tbl_commentary[exec_rank],tbl_commentary[priority])</f>
        <v/>
      </c>
      <c r="C44" s="32">
        <f>_xlfn.XLOOKUP(1,tbl_commentary[exec_rank],tbl_commentary[section])</f>
        <v/>
      </c>
      <c r="D44" s="19">
        <f>_xlfn.XLOOKUP(1,tbl_commentary[exec_rank],tbl_commentary[headline])</f>
        <v/>
      </c>
    </row>
    <row r="45" ht="14" customHeight="1">
      <c r="B45" s="34">
        <f>_xlfn.XLOOKUP(2,tbl_commentary[exec_rank],tbl_commentary[priority])</f>
        <v/>
      </c>
      <c r="C45" s="32">
        <f>_xlfn.XLOOKUP(2,tbl_commentary[exec_rank],tbl_commentary[section])</f>
        <v/>
      </c>
      <c r="D45" s="19">
        <f>_xlfn.XLOOKUP(2,tbl_commentary[exec_rank],tbl_commentary[headline])</f>
        <v/>
      </c>
    </row>
    <row r="46" ht="14" customHeight="1">
      <c r="B46" s="34">
        <f>_xlfn.XLOOKUP(3,tbl_commentary[exec_rank],tbl_commentary[priority])</f>
        <v/>
      </c>
      <c r="C46" s="32">
        <f>_xlfn.XLOOKUP(3,tbl_commentary[exec_rank],tbl_commentary[section])</f>
        <v/>
      </c>
      <c r="D46" s="19">
        <f>_xlfn.XLOOKUP(3,tbl_commentary[exec_rank],tbl_commentary[headline])</f>
        <v/>
      </c>
    </row>
    <row r="47" ht="14" customHeight="1">
      <c r="B47" s="34">
        <f>_xlfn.XLOOKUP(4,tbl_commentary[exec_rank],tbl_commentary[priority])</f>
        <v/>
      </c>
      <c r="C47" s="32">
        <f>_xlfn.XLOOKUP(4,tbl_commentary[exec_rank],tbl_commentary[section])</f>
        <v/>
      </c>
      <c r="D47" s="19">
        <f>_xlfn.XLOOKUP(4,tbl_commentary[exec_rank],tbl_commentary[headline])</f>
        <v/>
      </c>
    </row>
    <row r="48" ht="14" customHeight="1">
      <c r="B48" s="34">
        <f>_xlfn.XLOOKUP(5,tbl_commentary[exec_rank],tbl_commentary[priority])</f>
        <v/>
      </c>
      <c r="C48" s="32">
        <f>_xlfn.XLOOKUP(5,tbl_commentary[exec_rank],tbl_commentary[section])</f>
        <v/>
      </c>
      <c r="D48" s="19">
        <f>_xlfn.XLOOKUP(5,tbl_commentary[exec_rank],tbl_commentary[headline])</f>
        <v/>
      </c>
    </row>
    <row r="49" ht="14" customHeight="1">
      <c r="B49" s="34">
        <f>_xlfn.XLOOKUP(6,tbl_commentary[exec_rank],tbl_commentary[priority])</f>
        <v/>
      </c>
      <c r="C49" s="32">
        <f>_xlfn.XLOOKUP(6,tbl_commentary[exec_rank],tbl_commentary[section])</f>
        <v/>
      </c>
      <c r="D49" s="19">
        <f>_xlfn.XLOOKUP(6,tbl_commentary[exec_rank],tbl_commentary[headline])</f>
        <v/>
      </c>
    </row>
    <row r="50" ht="14" customHeight="1">
      <c r="B50" s="34">
        <f>_xlfn.XLOOKUP(7,tbl_commentary[exec_rank],tbl_commentary[priority])</f>
        <v/>
      </c>
      <c r="C50" s="32">
        <f>_xlfn.XLOOKUP(7,tbl_commentary[exec_rank],tbl_commentary[section])</f>
        <v/>
      </c>
      <c r="D50" s="19">
        <f>_xlfn.XLOOKUP(7,tbl_commentary[exec_rank],tbl_commentary[headline])</f>
        <v/>
      </c>
    </row>
    <row r="51" ht="14" customHeight="1">
      <c r="B51" s="34">
        <f>_xlfn.XLOOKUP(8,tbl_commentary[exec_rank],tbl_commentary[priority])</f>
        <v/>
      </c>
      <c r="C51" s="32">
        <f>_xlfn.XLOOKUP(8,tbl_commentary[exec_rank],tbl_commentary[section])</f>
        <v/>
      </c>
      <c r="D51" s="19">
        <f>_xlfn.XLOOKUP(8,tbl_commentary[exec_rank],tbl_commentary[headline])</f>
        <v/>
      </c>
    </row>
    <row r="52" ht="14" customHeight="1">
      <c r="B52" s="34">
        <f>_xlfn.XLOOKUP(9,tbl_commentary[exec_rank],tbl_commentary[priority])</f>
        <v/>
      </c>
      <c r="C52" s="32">
        <f>_xlfn.XLOOKUP(9,tbl_commentary[exec_rank],tbl_commentary[section])</f>
        <v/>
      </c>
      <c r="D52" s="19">
        <f>_xlfn.XLOOKUP(9,tbl_commentary[exec_rank],tbl_commentary[headline])</f>
        <v/>
      </c>
    </row>
    <row r="53" ht="14" customHeight="1"/>
    <row r="54" ht="12.5" customHeight="1">
      <c r="B54" s="16" t="inlineStr">
        <is>
          <t>Supporting data sheets are hidden, not protected and never veryHidden: right-click any tab and choose Unhide to inspect every table this workbook reads. The workbook carries no password, no macros and no external links.</t>
        </is>
      </c>
    </row>
    <row r="55" ht="14" customHeight="1"/>
    <row r="56" ht="12.5" customHeight="1">
      <c r="B56" s="3" t="inlineStr">
        <is>
          <t>Source: fct_commentary_output (Phase 7).</t>
        </is>
      </c>
    </row>
    <row r="57" ht="6.5" customHeight="1"/>
  </sheetData>
  <conditionalFormatting sqref="B8:F8">
    <cfRule type="cellIs" priority="1" operator="equal" dxfId="4">
      <formula>"FAIL"</formula>
    </cfRule>
    <cfRule type="cellIs" priority="2" operator="equal" dxfId="5">
      <formula>"READY / PASS"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5" customWidth="1" min="4" max="4"/>
    <col width="17" customWidth="1" min="5" max="5"/>
    <col width="16" customWidth="1" min="6" max="6"/>
    <col width="17" customWidth="1" min="7" max="7"/>
    <col width="20" customWidth="1" min="8" max="8"/>
    <col width="19" customWidth="1" min="9" max="9"/>
    <col width="13" customWidth="1" min="10" max="10"/>
    <col width="15" customWidth="1" min="11" max="11"/>
    <col width="14" customWidth="1" min="12" max="12"/>
    <col width="12" customWidth="1" min="15" max="15"/>
    <col width="23" customWidth="1" min="16" max="16"/>
    <col width="21" customWidth="1" min="17" max="17"/>
    <col width="23" customWidth="1" min="18" max="18"/>
    <col width="25" customWidth="1" min="19" max="19"/>
  </cols>
  <sheetData>
    <row r="1">
      <c r="A1" s="137" t="inlineStr">
        <is>
          <t>month_end_date</t>
        </is>
      </c>
      <c r="B1" s="136" t="inlineStr">
        <is>
          <t>month_label</t>
        </is>
      </c>
      <c r="C1" s="136" t="inlineStr">
        <is>
          <t>segment</t>
        </is>
      </c>
      <c r="D1" s="136" t="inlineStr">
        <is>
          <t>period_type</t>
        </is>
      </c>
      <c r="E1" s="136" t="inlineStr">
        <is>
          <t>beginning_arr</t>
        </is>
      </c>
      <c r="F1" s="136" t="inlineStr">
        <is>
          <t>new_logo_arr</t>
        </is>
      </c>
      <c r="G1" s="136" t="inlineStr">
        <is>
          <t>expansion_arr</t>
        </is>
      </c>
      <c r="H1" s="136" t="inlineStr">
        <is>
          <t>reactivation_arr</t>
        </is>
      </c>
      <c r="I1" s="136" t="inlineStr">
        <is>
          <t>contraction_arr</t>
        </is>
      </c>
      <c r="J1" s="136" t="inlineStr">
        <is>
          <t>churn_arr</t>
        </is>
      </c>
      <c r="K1" s="136" t="inlineStr">
        <is>
          <t>net_new_arr</t>
        </is>
      </c>
      <c r="L1" s="136" t="inlineStr">
        <is>
          <t>ending_arr</t>
        </is>
      </c>
      <c r="O1" s="136" t="inlineStr">
        <is>
          <t>segment</t>
        </is>
      </c>
      <c r="P1" s="136" t="inlineStr">
        <is>
          <t>jun_2026_actual_arr</t>
        </is>
      </c>
      <c r="Q1" s="136" t="inlineStr">
        <is>
          <t>dec_2026_base_arr</t>
        </is>
      </c>
      <c r="R1" s="136" t="inlineStr">
        <is>
          <t>h2_2026_net_new_arr</t>
        </is>
      </c>
      <c r="S1" s="136" t="inlineStr">
        <is>
          <t>share_of_dec_2026_arr</t>
        </is>
      </c>
    </row>
    <row r="2">
      <c r="A2" s="138" t="n">
        <v>45688</v>
      </c>
      <c r="B2" s="19" t="inlineStr">
        <is>
          <t>Jan-25</t>
        </is>
      </c>
      <c r="C2" s="19" t="inlineStr">
        <is>
          <t>Total</t>
        </is>
      </c>
      <c r="D2" s="19" t="inlineStr">
        <is>
          <t>Actual</t>
        </is>
      </c>
      <c r="E2" s="48" t="n">
        <v>24495197.4</v>
      </c>
      <c r="F2" s="48" t="n">
        <v>763989.24</v>
      </c>
      <c r="G2" s="48" t="n">
        <v>208523.88</v>
      </c>
      <c r="H2" s="48" t="n">
        <v>5379</v>
      </c>
      <c r="I2" s="48" t="n">
        <v>-356906.4</v>
      </c>
      <c r="J2" s="48" t="n">
        <v>-433404.48</v>
      </c>
      <c r="K2" s="48" t="n">
        <v>187581.24</v>
      </c>
      <c r="L2" s="48" t="n">
        <v>24682778.64</v>
      </c>
      <c r="O2" s="19" t="inlineStr">
        <is>
          <t>SMB</t>
        </is>
      </c>
      <c r="P2" s="48" t="n">
        <v>4824788.88</v>
      </c>
      <c r="Q2" s="48" t="n">
        <v>4832879.333327727</v>
      </c>
      <c r="R2" s="48" t="n">
        <v>8090.453327727504</v>
      </c>
      <c r="S2" s="25" t="n">
        <v>0.138810360461225</v>
      </c>
    </row>
    <row r="3">
      <c r="A3" s="138" t="n">
        <v>45688</v>
      </c>
      <c r="B3" s="19" t="inlineStr">
        <is>
          <t>Jan-25</t>
        </is>
      </c>
      <c r="C3" s="19" t="inlineStr">
        <is>
          <t>SMB</t>
        </is>
      </c>
      <c r="D3" s="19" t="inlineStr">
        <is>
          <t>Actual</t>
        </is>
      </c>
      <c r="E3" s="48" t="n">
        <v>3953928.12</v>
      </c>
      <c r="F3" s="48" t="n">
        <v>118961.04</v>
      </c>
      <c r="G3" s="48" t="n">
        <v>27056.16</v>
      </c>
      <c r="H3" s="48" t="n">
        <v>5379</v>
      </c>
      <c r="I3" s="48" t="n">
        <v>-13481.88</v>
      </c>
      <c r="J3" s="48" t="n">
        <v>-119408.76</v>
      </c>
      <c r="K3" s="48" t="n">
        <v>18505.55999999998</v>
      </c>
      <c r="L3" s="48" t="n">
        <v>3972433.68</v>
      </c>
      <c r="O3" s="19" t="inlineStr">
        <is>
          <t>Mid-Market</t>
        </is>
      </c>
      <c r="P3" s="48" t="n">
        <v>15499827.36</v>
      </c>
      <c r="Q3" s="48" t="n">
        <v>16971967.33625565</v>
      </c>
      <c r="R3" s="48" t="n">
        <v>1472139.976255652</v>
      </c>
      <c r="S3" s="25" t="n">
        <v>0.4874702514162742</v>
      </c>
    </row>
    <row r="4">
      <c r="A4" s="138" t="n">
        <v>45688</v>
      </c>
      <c r="B4" s="19" t="inlineStr">
        <is>
          <t>Jan-25</t>
        </is>
      </c>
      <c r="C4" s="19" t="inlineStr">
        <is>
          <t>Mid-Market</t>
        </is>
      </c>
      <c r="D4" s="19" t="inlineStr">
        <is>
          <t>Actual</t>
        </is>
      </c>
      <c r="E4" s="48" t="n">
        <v>10460274.72</v>
      </c>
      <c r="F4" s="48" t="n">
        <v>161960.52</v>
      </c>
      <c r="G4" s="48" t="n">
        <v>127629.48</v>
      </c>
      <c r="H4" s="48" t="n">
        <v>0</v>
      </c>
      <c r="I4" s="48" t="n">
        <v>-141799.32</v>
      </c>
      <c r="J4" s="48" t="n">
        <v>-313995.72</v>
      </c>
      <c r="K4" s="48" t="n">
        <v>-166205.04</v>
      </c>
      <c r="L4" s="48" t="n">
        <v>10294069.68</v>
      </c>
      <c r="O4" s="19" t="inlineStr">
        <is>
          <t>Enterprise</t>
        </is>
      </c>
      <c r="P4" s="48" t="n">
        <v>12692104.08</v>
      </c>
      <c r="Q4" s="48" t="n">
        <v>13011569.89521428</v>
      </c>
      <c r="R4" s="48" t="n">
        <v>319465.81521428</v>
      </c>
      <c r="S4" s="25" t="n">
        <v>0.3737193881225007</v>
      </c>
    </row>
    <row r="5">
      <c r="A5" s="138" t="n">
        <v>45688</v>
      </c>
      <c r="B5" s="19" t="inlineStr">
        <is>
          <t>Jan-25</t>
        </is>
      </c>
      <c r="C5" s="19" t="inlineStr">
        <is>
          <t>Enterprise</t>
        </is>
      </c>
      <c r="D5" s="19" t="inlineStr">
        <is>
          <t>Actual</t>
        </is>
      </c>
      <c r="E5" s="48" t="n">
        <v>10080994.56</v>
      </c>
      <c r="F5" s="48" t="n">
        <v>483067.68</v>
      </c>
      <c r="G5" s="48" t="n">
        <v>53838.24</v>
      </c>
      <c r="H5" s="48" t="n">
        <v>0</v>
      </c>
      <c r="I5" s="48" t="n">
        <v>-201625.2</v>
      </c>
      <c r="J5" s="48" t="n">
        <v>0</v>
      </c>
      <c r="K5" s="48" t="n">
        <v>335280.72</v>
      </c>
      <c r="L5" s="48" t="n">
        <v>10416275.28</v>
      </c>
      <c r="O5" s="19" t="inlineStr">
        <is>
          <t>Total</t>
        </is>
      </c>
      <c r="P5" s="48" t="n">
        <v>33016720.32</v>
      </c>
      <c r="Q5" s="48" t="n">
        <v>34816416.56479766</v>
      </c>
      <c r="R5" s="48" t="n">
        <v>1799696.244797662</v>
      </c>
      <c r="S5" s="25" t="n">
        <v>1</v>
      </c>
    </row>
    <row r="6">
      <c r="A6" s="138" t="n">
        <v>45716</v>
      </c>
      <c r="B6" s="19" t="inlineStr">
        <is>
          <t>Feb-25</t>
        </is>
      </c>
      <c r="C6" s="19" t="inlineStr">
        <is>
          <t>Total</t>
        </is>
      </c>
      <c r="D6" s="19" t="inlineStr">
        <is>
          <t>Actual</t>
        </is>
      </c>
      <c r="E6" s="48" t="n">
        <v>24682778.64</v>
      </c>
      <c r="F6" s="48" t="n">
        <v>398202.84</v>
      </c>
      <c r="G6" s="48" t="n">
        <v>450903.12</v>
      </c>
      <c r="H6" s="48" t="n">
        <v>0</v>
      </c>
      <c r="I6" s="48" t="n">
        <v>-110046.24</v>
      </c>
      <c r="J6" s="48" t="n">
        <v>-189502.92</v>
      </c>
      <c r="K6" s="48" t="n">
        <v>549556.7999999999</v>
      </c>
      <c r="L6" s="48" t="n">
        <v>25232335.44</v>
      </c>
    </row>
    <row r="7">
      <c r="A7" s="138" t="n">
        <v>45716</v>
      </c>
      <c r="B7" s="19" t="inlineStr">
        <is>
          <t>Feb-25</t>
        </is>
      </c>
      <c r="C7" s="19" t="inlineStr">
        <is>
          <t>SMB</t>
        </is>
      </c>
      <c r="D7" s="19" t="inlineStr">
        <is>
          <t>Actual</t>
        </is>
      </c>
      <c r="E7" s="48" t="n">
        <v>3972433.68</v>
      </c>
      <c r="F7" s="48" t="n">
        <v>126363.72</v>
      </c>
      <c r="G7" s="48" t="n">
        <v>36440.28</v>
      </c>
      <c r="H7" s="48" t="n">
        <v>0</v>
      </c>
      <c r="I7" s="48" t="n">
        <v>-22508.16</v>
      </c>
      <c r="J7" s="48" t="n">
        <v>-76150.8</v>
      </c>
      <c r="K7" s="48" t="n">
        <v>64145.03999999999</v>
      </c>
      <c r="L7" s="48" t="n">
        <v>4036578.72</v>
      </c>
    </row>
    <row r="8">
      <c r="A8" s="138" t="n">
        <v>45716</v>
      </c>
      <c r="B8" s="19" t="inlineStr">
        <is>
          <t>Feb-25</t>
        </is>
      </c>
      <c r="C8" s="19" t="inlineStr">
        <is>
          <t>Mid-Market</t>
        </is>
      </c>
      <c r="D8" s="19" t="inlineStr">
        <is>
          <t>Actual</t>
        </is>
      </c>
      <c r="E8" s="48" t="n">
        <v>10294069.68</v>
      </c>
      <c r="F8" s="48" t="n">
        <v>145388.88</v>
      </c>
      <c r="G8" s="48" t="n">
        <v>314839.32</v>
      </c>
      <c r="H8" s="48" t="n">
        <v>0</v>
      </c>
      <c r="I8" s="48" t="n">
        <v>-25332.48</v>
      </c>
      <c r="J8" s="48" t="n">
        <v>-113352.12</v>
      </c>
      <c r="K8" s="48" t="n">
        <v>321543.6</v>
      </c>
      <c r="L8" s="48" t="n">
        <v>10615613.28</v>
      </c>
    </row>
    <row r="9">
      <c r="A9" s="138" t="n">
        <v>45716</v>
      </c>
      <c r="B9" s="19" t="inlineStr">
        <is>
          <t>Feb-25</t>
        </is>
      </c>
      <c r="C9" s="19" t="inlineStr">
        <is>
          <t>Enterprise</t>
        </is>
      </c>
      <c r="D9" s="19" t="inlineStr">
        <is>
          <t>Actual</t>
        </is>
      </c>
      <c r="E9" s="48" t="n">
        <v>10416275.28</v>
      </c>
      <c r="F9" s="48" t="n">
        <v>126450.24</v>
      </c>
      <c r="G9" s="48" t="n">
        <v>99623.52</v>
      </c>
      <c r="H9" s="48" t="n">
        <v>0</v>
      </c>
      <c r="I9" s="48" t="n">
        <v>-62205.6</v>
      </c>
      <c r="J9" s="48" t="n">
        <v>0</v>
      </c>
      <c r="K9" s="48" t="n">
        <v>163868.16</v>
      </c>
      <c r="L9" s="48" t="n">
        <v>10580143.44</v>
      </c>
    </row>
    <row r="10">
      <c r="A10" s="138" t="n">
        <v>45747</v>
      </c>
      <c r="B10" s="19" t="inlineStr">
        <is>
          <t>Mar-25</t>
        </is>
      </c>
      <c r="C10" s="19" t="inlineStr">
        <is>
          <t>Total</t>
        </is>
      </c>
      <c r="D10" s="19" t="inlineStr">
        <is>
          <t>Actual</t>
        </is>
      </c>
      <c r="E10" s="48" t="n">
        <v>25232335.44</v>
      </c>
      <c r="F10" s="48" t="n">
        <v>482289.0000000001</v>
      </c>
      <c r="G10" s="48" t="n">
        <v>339030.96</v>
      </c>
      <c r="H10" s="48" t="n">
        <v>7012.2</v>
      </c>
      <c r="I10" s="48" t="n">
        <v>-120597.12</v>
      </c>
      <c r="J10" s="48" t="n">
        <v>-125741.04</v>
      </c>
      <c r="K10" s="48" t="n">
        <v>581994</v>
      </c>
      <c r="L10" s="48" t="n">
        <v>25814329.44</v>
      </c>
    </row>
    <row r="11">
      <c r="A11" s="138" t="n">
        <v>45747</v>
      </c>
      <c r="B11" s="19" t="inlineStr">
        <is>
          <t>Mar-25</t>
        </is>
      </c>
      <c r="C11" s="19" t="inlineStr">
        <is>
          <t>SMB</t>
        </is>
      </c>
      <c r="D11" s="19" t="inlineStr">
        <is>
          <t>Actual</t>
        </is>
      </c>
      <c r="E11" s="48" t="n">
        <v>4036578.72</v>
      </c>
      <c r="F11" s="48" t="n">
        <v>167228.76</v>
      </c>
      <c r="G11" s="48" t="n">
        <v>36595.8</v>
      </c>
      <c r="H11" s="48" t="n">
        <v>7012.2</v>
      </c>
      <c r="I11" s="48" t="n">
        <v>-11071.68</v>
      </c>
      <c r="J11" s="48" t="n">
        <v>-90019.92</v>
      </c>
      <c r="K11" s="48" t="n">
        <v>109745.16</v>
      </c>
      <c r="L11" s="48" t="n">
        <v>4146323.88</v>
      </c>
    </row>
    <row r="12">
      <c r="A12" s="138" t="n">
        <v>45747</v>
      </c>
      <c r="B12" s="19" t="inlineStr">
        <is>
          <t>Mar-25</t>
        </is>
      </c>
      <c r="C12" s="19" t="inlineStr">
        <is>
          <t>Mid-Market</t>
        </is>
      </c>
      <c r="D12" s="19" t="inlineStr">
        <is>
          <t>Actual</t>
        </is>
      </c>
      <c r="E12" s="48" t="n">
        <v>10615613.28</v>
      </c>
      <c r="F12" s="48" t="n">
        <v>254963.04</v>
      </c>
      <c r="G12" s="48" t="n">
        <v>282137.4</v>
      </c>
      <c r="H12" s="48" t="n">
        <v>0</v>
      </c>
      <c r="I12" s="48" t="n">
        <v>-97994.64</v>
      </c>
      <c r="J12" s="48" t="n">
        <v>-35721.12</v>
      </c>
      <c r="K12" s="48" t="n">
        <v>403384.6800000001</v>
      </c>
      <c r="L12" s="48" t="n">
        <v>11018997.96</v>
      </c>
    </row>
    <row r="13">
      <c r="A13" s="138" t="n">
        <v>45747</v>
      </c>
      <c r="B13" s="19" t="inlineStr">
        <is>
          <t>Mar-25</t>
        </is>
      </c>
      <c r="C13" s="19" t="inlineStr">
        <is>
          <t>Enterprise</t>
        </is>
      </c>
      <c r="D13" s="19" t="inlineStr">
        <is>
          <t>Actual</t>
        </is>
      </c>
      <c r="E13" s="48" t="n">
        <v>10580143.44</v>
      </c>
      <c r="F13" s="48" t="n">
        <v>60097.2</v>
      </c>
      <c r="G13" s="48" t="n">
        <v>20297.76</v>
      </c>
      <c r="H13" s="48" t="n">
        <v>0</v>
      </c>
      <c r="I13" s="48" t="n">
        <v>-11530.8</v>
      </c>
      <c r="J13" s="48" t="n">
        <v>0</v>
      </c>
      <c r="K13" s="48" t="n">
        <v>68864.15999999999</v>
      </c>
      <c r="L13" s="48" t="n">
        <v>10649007.6</v>
      </c>
    </row>
    <row r="14">
      <c r="A14" s="138" t="n">
        <v>45777</v>
      </c>
      <c r="B14" s="19" t="inlineStr">
        <is>
          <t>Apr-25</t>
        </is>
      </c>
      <c r="C14" s="19" t="inlineStr">
        <is>
          <t>Total</t>
        </is>
      </c>
      <c r="D14" s="19" t="inlineStr">
        <is>
          <t>Actual</t>
        </is>
      </c>
      <c r="E14" s="48" t="n">
        <v>25814329.44</v>
      </c>
      <c r="F14" s="48" t="n">
        <v>289522.08</v>
      </c>
      <c r="G14" s="48" t="n">
        <v>568274.88</v>
      </c>
      <c r="H14" s="48" t="n">
        <v>41077.32</v>
      </c>
      <c r="I14" s="48" t="n">
        <v>-140806.8</v>
      </c>
      <c r="J14" s="48" t="n">
        <v>-142746.84</v>
      </c>
      <c r="K14" s="48" t="n">
        <v>615320.64</v>
      </c>
      <c r="L14" s="48" t="n">
        <v>26429650.08</v>
      </c>
    </row>
    <row r="15">
      <c r="A15" s="138" t="n">
        <v>45777</v>
      </c>
      <c r="B15" s="19" t="inlineStr">
        <is>
          <t>Apr-25</t>
        </is>
      </c>
      <c r="C15" s="19" t="inlineStr">
        <is>
          <t>SMB</t>
        </is>
      </c>
      <c r="D15" s="19" t="inlineStr">
        <is>
          <t>Actual</t>
        </is>
      </c>
      <c r="E15" s="48" t="n">
        <v>4146323.88</v>
      </c>
      <c r="F15" s="48" t="n">
        <v>105016.68</v>
      </c>
      <c r="G15" s="48" t="n">
        <v>59536.68</v>
      </c>
      <c r="H15" s="48" t="n">
        <v>0</v>
      </c>
      <c r="I15" s="48" t="n">
        <v>-4347</v>
      </c>
      <c r="J15" s="48" t="n">
        <v>-128617.92</v>
      </c>
      <c r="K15" s="48" t="n">
        <v>31588.43999999999</v>
      </c>
      <c r="L15" s="48" t="n">
        <v>4177912.32</v>
      </c>
    </row>
    <row r="16">
      <c r="A16" s="138" t="n">
        <v>45777</v>
      </c>
      <c r="B16" s="19" t="inlineStr">
        <is>
          <t>Apr-25</t>
        </is>
      </c>
      <c r="C16" s="19" t="inlineStr">
        <is>
          <t>Mid-Market</t>
        </is>
      </c>
      <c r="D16" s="19" t="inlineStr">
        <is>
          <t>Actual</t>
        </is>
      </c>
      <c r="E16" s="48" t="n">
        <v>11018997.96</v>
      </c>
      <c r="F16" s="48" t="n">
        <v>184505.4</v>
      </c>
      <c r="G16" s="48" t="n">
        <v>250283.16</v>
      </c>
      <c r="H16" s="48" t="n">
        <v>41077.32</v>
      </c>
      <c r="I16" s="48" t="n">
        <v>-74870.39999999999</v>
      </c>
      <c r="J16" s="48" t="n">
        <v>-14128.92</v>
      </c>
      <c r="K16" s="48" t="n">
        <v>386866.56</v>
      </c>
      <c r="L16" s="48" t="n">
        <v>11405864.52</v>
      </c>
    </row>
    <row r="17">
      <c r="A17" s="138" t="n">
        <v>45777</v>
      </c>
      <c r="B17" s="19" t="inlineStr">
        <is>
          <t>Apr-25</t>
        </is>
      </c>
      <c r="C17" s="19" t="inlineStr">
        <is>
          <t>Enterprise</t>
        </is>
      </c>
      <c r="D17" s="19" t="inlineStr">
        <is>
          <t>Actual</t>
        </is>
      </c>
      <c r="E17" s="48" t="n">
        <v>10649007.6</v>
      </c>
      <c r="F17" s="48" t="n">
        <v>0</v>
      </c>
      <c r="G17" s="48" t="n">
        <v>258455.04</v>
      </c>
      <c r="H17" s="48" t="n">
        <v>0</v>
      </c>
      <c r="I17" s="48" t="n">
        <v>-61589.4</v>
      </c>
      <c r="J17" s="48" t="n">
        <v>0</v>
      </c>
      <c r="K17" s="48" t="n">
        <v>196865.64</v>
      </c>
      <c r="L17" s="48" t="n">
        <v>10845873.24</v>
      </c>
    </row>
    <row r="18">
      <c r="A18" s="138" t="n">
        <v>45808</v>
      </c>
      <c r="B18" s="19" t="inlineStr">
        <is>
          <t>May-25</t>
        </is>
      </c>
      <c r="C18" s="19" t="inlineStr">
        <is>
          <t>Total</t>
        </is>
      </c>
      <c r="D18" s="19" t="inlineStr">
        <is>
          <t>Actual</t>
        </is>
      </c>
      <c r="E18" s="48" t="n">
        <v>26429650.08</v>
      </c>
      <c r="F18" s="48" t="n">
        <v>266066.16</v>
      </c>
      <c r="G18" s="48" t="n">
        <v>214662.36</v>
      </c>
      <c r="H18" s="48" t="n">
        <v>12462.48</v>
      </c>
      <c r="I18" s="48" t="n">
        <v>-91199.88</v>
      </c>
      <c r="J18" s="48" t="n">
        <v>-240511.2</v>
      </c>
      <c r="K18" s="48" t="n">
        <v>161479.92</v>
      </c>
      <c r="L18" s="48" t="n">
        <v>26591130</v>
      </c>
    </row>
    <row r="19">
      <c r="A19" s="138" t="n">
        <v>45808</v>
      </c>
      <c r="B19" s="19" t="inlineStr">
        <is>
          <t>May-25</t>
        </is>
      </c>
      <c r="C19" s="19" t="inlineStr">
        <is>
          <t>SMB</t>
        </is>
      </c>
      <c r="D19" s="19" t="inlineStr">
        <is>
          <t>Actual</t>
        </is>
      </c>
      <c r="E19" s="48" t="n">
        <v>4177912.32</v>
      </c>
      <c r="F19" s="48" t="n">
        <v>111001.44</v>
      </c>
      <c r="G19" s="48" t="n">
        <v>22565.4</v>
      </c>
      <c r="H19" s="48" t="n">
        <v>12462.48</v>
      </c>
      <c r="I19" s="48" t="n">
        <v>-11069.88</v>
      </c>
      <c r="J19" s="48" t="n">
        <v>-149700.48</v>
      </c>
      <c r="K19" s="48" t="n">
        <v>-14741.04000000001</v>
      </c>
      <c r="L19" s="48" t="n">
        <v>4163171.28</v>
      </c>
    </row>
    <row r="20">
      <c r="A20" s="138" t="n">
        <v>45808</v>
      </c>
      <c r="B20" s="19" t="inlineStr">
        <is>
          <t>May-25</t>
        </is>
      </c>
      <c r="C20" s="19" t="inlineStr">
        <is>
          <t>Mid-Market</t>
        </is>
      </c>
      <c r="D20" s="19" t="inlineStr">
        <is>
          <t>Actual</t>
        </is>
      </c>
      <c r="E20" s="48" t="n">
        <v>11405864.52</v>
      </c>
      <c r="F20" s="48" t="n">
        <v>155064.72</v>
      </c>
      <c r="G20" s="48" t="n">
        <v>169027.56</v>
      </c>
      <c r="H20" s="48" t="n">
        <v>0</v>
      </c>
      <c r="I20" s="48" t="n">
        <v>-80130</v>
      </c>
      <c r="J20" s="48" t="n">
        <v>-90810.72</v>
      </c>
      <c r="K20" s="48" t="n">
        <v>153151.56</v>
      </c>
      <c r="L20" s="48" t="n">
        <v>11559016.08</v>
      </c>
    </row>
    <row r="21">
      <c r="A21" s="138" t="n">
        <v>45808</v>
      </c>
      <c r="B21" s="19" t="inlineStr">
        <is>
          <t>May-25</t>
        </is>
      </c>
      <c r="C21" s="19" t="inlineStr">
        <is>
          <t>Enterprise</t>
        </is>
      </c>
      <c r="D21" s="19" t="inlineStr">
        <is>
          <t>Actual</t>
        </is>
      </c>
      <c r="E21" s="48" t="n">
        <v>10845873.24</v>
      </c>
      <c r="F21" s="48" t="n">
        <v>0</v>
      </c>
      <c r="G21" s="48" t="n">
        <v>23069.4</v>
      </c>
      <c r="H21" s="48" t="n">
        <v>0</v>
      </c>
      <c r="I21" s="48" t="n">
        <v>0</v>
      </c>
      <c r="J21" s="48" t="n">
        <v>0</v>
      </c>
      <c r="K21" s="48" t="n">
        <v>23069.4</v>
      </c>
      <c r="L21" s="48" t="n">
        <v>10868942.64</v>
      </c>
    </row>
    <row r="22">
      <c r="A22" s="138" t="n">
        <v>45838</v>
      </c>
      <c r="B22" s="19" t="inlineStr">
        <is>
          <t>Jun-25</t>
        </is>
      </c>
      <c r="C22" s="19" t="inlineStr">
        <is>
          <t>Total</t>
        </is>
      </c>
      <c r="D22" s="19" t="inlineStr">
        <is>
          <t>Actual</t>
        </is>
      </c>
      <c r="E22" s="48" t="n">
        <v>26591130</v>
      </c>
      <c r="F22" s="48" t="n">
        <v>408324</v>
      </c>
      <c r="G22" s="48" t="n">
        <v>332059.5600000001</v>
      </c>
      <c r="H22" s="48" t="n">
        <v>0</v>
      </c>
      <c r="I22" s="48" t="n">
        <v>-45796.2</v>
      </c>
      <c r="J22" s="48" t="n">
        <v>-147946.44</v>
      </c>
      <c r="K22" s="48" t="n">
        <v>546640.9200000002</v>
      </c>
      <c r="L22" s="48" t="n">
        <v>27137770.92</v>
      </c>
    </row>
    <row r="23">
      <c r="A23" s="138" t="n">
        <v>45838</v>
      </c>
      <c r="B23" s="19" t="inlineStr">
        <is>
          <t>Jun-25</t>
        </is>
      </c>
      <c r="C23" s="19" t="inlineStr">
        <is>
          <t>SMB</t>
        </is>
      </c>
      <c r="D23" s="19" t="inlineStr">
        <is>
          <t>Actual</t>
        </is>
      </c>
      <c r="E23" s="48" t="n">
        <v>4163171.28</v>
      </c>
      <c r="F23" s="48" t="n">
        <v>193993.68</v>
      </c>
      <c r="G23" s="48" t="n">
        <v>46049.16</v>
      </c>
      <c r="H23" s="48" t="n">
        <v>0</v>
      </c>
      <c r="I23" s="48" t="n">
        <v>-20162.88</v>
      </c>
      <c r="J23" s="48" t="n">
        <v>-89028.72</v>
      </c>
      <c r="K23" s="48" t="n">
        <v>130851.24</v>
      </c>
      <c r="L23" s="48" t="n">
        <v>4294022.52</v>
      </c>
    </row>
    <row r="24">
      <c r="A24" s="138" t="n">
        <v>45838</v>
      </c>
      <c r="B24" s="19" t="inlineStr">
        <is>
          <t>Jun-25</t>
        </is>
      </c>
      <c r="C24" s="19" t="inlineStr">
        <is>
          <t>Mid-Market</t>
        </is>
      </c>
      <c r="D24" s="19" t="inlineStr">
        <is>
          <t>Actual</t>
        </is>
      </c>
      <c r="E24" s="48" t="n">
        <v>11559016.08</v>
      </c>
      <c r="F24" s="48" t="n">
        <v>137055.36</v>
      </c>
      <c r="G24" s="48" t="n">
        <v>286010.4</v>
      </c>
      <c r="H24" s="48" t="n">
        <v>0</v>
      </c>
      <c r="I24" s="48" t="n">
        <v>-16331.64</v>
      </c>
      <c r="J24" s="48" t="n">
        <v>-58917.72</v>
      </c>
      <c r="K24" s="48" t="n">
        <v>347816.4</v>
      </c>
      <c r="L24" s="48" t="n">
        <v>11906832.48</v>
      </c>
    </row>
    <row r="25">
      <c r="A25" s="138" t="n">
        <v>45838</v>
      </c>
      <c r="B25" s="19" t="inlineStr">
        <is>
          <t>Jun-25</t>
        </is>
      </c>
      <c r="C25" s="19" t="inlineStr">
        <is>
          <t>Enterprise</t>
        </is>
      </c>
      <c r="D25" s="19" t="inlineStr">
        <is>
          <t>Actual</t>
        </is>
      </c>
      <c r="E25" s="48" t="n">
        <v>10868942.64</v>
      </c>
      <c r="F25" s="48" t="n">
        <v>77274.96000000001</v>
      </c>
      <c r="G25" s="48" t="n">
        <v>0</v>
      </c>
      <c r="H25" s="48" t="n">
        <v>0</v>
      </c>
      <c r="I25" s="48" t="n">
        <v>-9301.68</v>
      </c>
      <c r="J25" s="48" t="n">
        <v>0</v>
      </c>
      <c r="K25" s="48" t="n">
        <v>67973.28</v>
      </c>
      <c r="L25" s="48" t="n">
        <v>10936915.92</v>
      </c>
    </row>
    <row r="26">
      <c r="A26" s="138" t="n">
        <v>45869</v>
      </c>
      <c r="B26" s="19" t="inlineStr">
        <is>
          <t>Jul-25</t>
        </is>
      </c>
      <c r="C26" s="19" t="inlineStr">
        <is>
          <t>Total</t>
        </is>
      </c>
      <c r="D26" s="19" t="inlineStr">
        <is>
          <t>Actual</t>
        </is>
      </c>
      <c r="E26" s="48" t="n">
        <v>27137770.92</v>
      </c>
      <c r="F26" s="48" t="n">
        <v>148504.68</v>
      </c>
      <c r="G26" s="48" t="n">
        <v>364045.92</v>
      </c>
      <c r="H26" s="48" t="n">
        <v>2735.28</v>
      </c>
      <c r="I26" s="48" t="n">
        <v>-97174.92</v>
      </c>
      <c r="J26" s="48" t="n">
        <v>-88185</v>
      </c>
      <c r="K26" s="48" t="n">
        <v>329925.96</v>
      </c>
      <c r="L26" s="48" t="n">
        <v>27467696.88</v>
      </c>
    </row>
    <row r="27">
      <c r="A27" s="138" t="n">
        <v>45869</v>
      </c>
      <c r="B27" s="19" t="inlineStr">
        <is>
          <t>Jul-25</t>
        </is>
      </c>
      <c r="C27" s="19" t="inlineStr">
        <is>
          <t>SMB</t>
        </is>
      </c>
      <c r="D27" s="19" t="inlineStr">
        <is>
          <t>Actual</t>
        </is>
      </c>
      <c r="E27" s="48" t="n">
        <v>4294022.52</v>
      </c>
      <c r="F27" s="48" t="n">
        <v>63689.64</v>
      </c>
      <c r="G27" s="48" t="n">
        <v>48588.96</v>
      </c>
      <c r="H27" s="48" t="n">
        <v>2735.28</v>
      </c>
      <c r="I27" s="48" t="n">
        <v>-19276.2</v>
      </c>
      <c r="J27" s="48" t="n">
        <v>-59258.16</v>
      </c>
      <c r="K27" s="48" t="n">
        <v>36479.52</v>
      </c>
      <c r="L27" s="48" t="n">
        <v>4330502.04</v>
      </c>
    </row>
    <row r="28">
      <c r="A28" s="138" t="n">
        <v>45869</v>
      </c>
      <c r="B28" s="19" t="inlineStr">
        <is>
          <t>Jul-25</t>
        </is>
      </c>
      <c r="C28" s="19" t="inlineStr">
        <is>
          <t>Mid-Market</t>
        </is>
      </c>
      <c r="D28" s="19" t="inlineStr">
        <is>
          <t>Actual</t>
        </is>
      </c>
      <c r="E28" s="48" t="n">
        <v>11906832.48</v>
      </c>
      <c r="F28" s="48" t="n">
        <v>84815.03999999999</v>
      </c>
      <c r="G28" s="48" t="n">
        <v>296148.12</v>
      </c>
      <c r="H28" s="48" t="n">
        <v>0</v>
      </c>
      <c r="I28" s="48" t="n">
        <v>-77898.72</v>
      </c>
      <c r="J28" s="48" t="n">
        <v>-28926.84</v>
      </c>
      <c r="K28" s="48" t="n">
        <v>274137.5999999999</v>
      </c>
      <c r="L28" s="48" t="n">
        <v>12180970.08</v>
      </c>
    </row>
    <row r="29">
      <c r="A29" s="138" t="n">
        <v>45869</v>
      </c>
      <c r="B29" s="19" t="inlineStr">
        <is>
          <t>Jul-25</t>
        </is>
      </c>
      <c r="C29" s="19" t="inlineStr">
        <is>
          <t>Enterprise</t>
        </is>
      </c>
      <c r="D29" s="19" t="inlineStr">
        <is>
          <t>Actual</t>
        </is>
      </c>
      <c r="E29" s="48" t="n">
        <v>10936915.92</v>
      </c>
      <c r="F29" s="48" t="n">
        <v>0</v>
      </c>
      <c r="G29" s="48" t="n">
        <v>19308.84</v>
      </c>
      <c r="H29" s="48" t="n">
        <v>0</v>
      </c>
      <c r="I29" s="48" t="n">
        <v>0</v>
      </c>
      <c r="J29" s="48" t="n">
        <v>0</v>
      </c>
      <c r="K29" s="48" t="n">
        <v>19308.84</v>
      </c>
      <c r="L29" s="48" t="n">
        <v>10956224.76</v>
      </c>
    </row>
    <row r="30">
      <c r="A30" s="138" t="n">
        <v>45900</v>
      </c>
      <c r="B30" s="19" t="inlineStr">
        <is>
          <t>Aug-25</t>
        </is>
      </c>
      <c r="C30" s="19" t="inlineStr">
        <is>
          <t>Total</t>
        </is>
      </c>
      <c r="D30" s="19" t="inlineStr">
        <is>
          <t>Actual</t>
        </is>
      </c>
      <c r="E30" s="48" t="n">
        <v>27467696.88</v>
      </c>
      <c r="F30" s="48" t="n">
        <v>254568</v>
      </c>
      <c r="G30" s="48" t="n">
        <v>339460.6799999999</v>
      </c>
      <c r="H30" s="48" t="n">
        <v>2107.44</v>
      </c>
      <c r="I30" s="48" t="n">
        <v>-73086.12</v>
      </c>
      <c r="J30" s="48" t="n">
        <v>-197466.12</v>
      </c>
      <c r="K30" s="48" t="n">
        <v>325583.8799999999</v>
      </c>
      <c r="L30" s="48" t="n">
        <v>27793280.76</v>
      </c>
    </row>
    <row r="31">
      <c r="A31" s="138" t="n">
        <v>45900</v>
      </c>
      <c r="B31" s="19" t="inlineStr">
        <is>
          <t>Aug-25</t>
        </is>
      </c>
      <c r="C31" s="19" t="inlineStr">
        <is>
          <t>SMB</t>
        </is>
      </c>
      <c r="D31" s="19" t="inlineStr">
        <is>
          <t>Actual</t>
        </is>
      </c>
      <c r="E31" s="48" t="n">
        <v>4330502.04</v>
      </c>
      <c r="F31" s="48" t="n">
        <v>101424.12</v>
      </c>
      <c r="G31" s="48" t="n">
        <v>55007.28</v>
      </c>
      <c r="H31" s="48" t="n">
        <v>2107.44</v>
      </c>
      <c r="I31" s="48" t="n">
        <v>-19917.72</v>
      </c>
      <c r="J31" s="48" t="n">
        <v>-98999.75999999999</v>
      </c>
      <c r="K31" s="48" t="n">
        <v>39621.36</v>
      </c>
      <c r="L31" s="48" t="n">
        <v>4370123.4</v>
      </c>
    </row>
    <row r="32">
      <c r="A32" s="138" t="n">
        <v>45900</v>
      </c>
      <c r="B32" s="19" t="inlineStr">
        <is>
          <t>Aug-25</t>
        </is>
      </c>
      <c r="C32" s="19" t="inlineStr">
        <is>
          <t>Mid-Market</t>
        </is>
      </c>
      <c r="D32" s="19" t="inlineStr">
        <is>
          <t>Actual</t>
        </is>
      </c>
      <c r="E32" s="48" t="n">
        <v>12180970.08</v>
      </c>
      <c r="F32" s="48" t="n">
        <v>153143.88</v>
      </c>
      <c r="G32" s="48" t="n">
        <v>223555.68</v>
      </c>
      <c r="H32" s="48" t="n">
        <v>0</v>
      </c>
      <c r="I32" s="48" t="n">
        <v>-53168.4</v>
      </c>
      <c r="J32" s="48" t="n">
        <v>-98466.36</v>
      </c>
      <c r="K32" s="48" t="n">
        <v>225064.8</v>
      </c>
      <c r="L32" s="48" t="n">
        <v>12406034.88</v>
      </c>
    </row>
    <row r="33">
      <c r="A33" s="138" t="n">
        <v>45900</v>
      </c>
      <c r="B33" s="19" t="inlineStr">
        <is>
          <t>Aug-25</t>
        </is>
      </c>
      <c r="C33" s="19" t="inlineStr">
        <is>
          <t>Enterprise</t>
        </is>
      </c>
      <c r="D33" s="19" t="inlineStr">
        <is>
          <t>Actual</t>
        </is>
      </c>
      <c r="E33" s="48" t="n">
        <v>10956224.76</v>
      </c>
      <c r="F33" s="48" t="n">
        <v>0</v>
      </c>
      <c r="G33" s="48" t="n">
        <v>60897.72</v>
      </c>
      <c r="H33" s="48" t="n">
        <v>0</v>
      </c>
      <c r="I33" s="48" t="n">
        <v>0</v>
      </c>
      <c r="J33" s="48" t="n">
        <v>0</v>
      </c>
      <c r="K33" s="48" t="n">
        <v>60897.72</v>
      </c>
      <c r="L33" s="48" t="n">
        <v>11017122.48</v>
      </c>
    </row>
    <row r="34">
      <c r="A34" s="138" t="n">
        <v>45930</v>
      </c>
      <c r="B34" s="19" t="inlineStr">
        <is>
          <t>Sep-25</t>
        </is>
      </c>
      <c r="C34" s="19" t="inlineStr">
        <is>
          <t>Total</t>
        </is>
      </c>
      <c r="D34" s="19" t="inlineStr">
        <is>
          <t>Actual</t>
        </is>
      </c>
      <c r="E34" s="48" t="n">
        <v>27793280.76</v>
      </c>
      <c r="F34" s="48" t="n">
        <v>265998.84</v>
      </c>
      <c r="G34" s="48" t="n">
        <v>295512.48</v>
      </c>
      <c r="H34" s="48" t="n">
        <v>0</v>
      </c>
      <c r="I34" s="48" t="n">
        <v>-46792.8</v>
      </c>
      <c r="J34" s="48" t="n">
        <v>-189627.96</v>
      </c>
      <c r="K34" s="48" t="n">
        <v>325090.5600000001</v>
      </c>
      <c r="L34" s="48" t="n">
        <v>28118371.32</v>
      </c>
    </row>
    <row r="35">
      <c r="A35" s="138" t="n">
        <v>45930</v>
      </c>
      <c r="B35" s="19" t="inlineStr">
        <is>
          <t>Sep-25</t>
        </is>
      </c>
      <c r="C35" s="19" t="inlineStr">
        <is>
          <t>SMB</t>
        </is>
      </c>
      <c r="D35" s="19" t="inlineStr">
        <is>
          <t>Actual</t>
        </is>
      </c>
      <c r="E35" s="48" t="n">
        <v>4370123.4</v>
      </c>
      <c r="F35" s="48" t="n">
        <v>84287.88</v>
      </c>
      <c r="G35" s="48" t="n">
        <v>53046</v>
      </c>
      <c r="H35" s="48" t="n">
        <v>0</v>
      </c>
      <c r="I35" s="48" t="n">
        <v>-7236.72</v>
      </c>
      <c r="J35" s="48" t="n">
        <v>-72205.92</v>
      </c>
      <c r="K35" s="48" t="n">
        <v>57891.24000000001</v>
      </c>
      <c r="L35" s="48" t="n">
        <v>4428014.64</v>
      </c>
    </row>
    <row r="36">
      <c r="A36" s="138" t="n">
        <v>45930</v>
      </c>
      <c r="B36" s="19" t="inlineStr">
        <is>
          <t>Sep-25</t>
        </is>
      </c>
      <c r="C36" s="19" t="inlineStr">
        <is>
          <t>Mid-Market</t>
        </is>
      </c>
      <c r="D36" s="19" t="inlineStr">
        <is>
          <t>Actual</t>
        </is>
      </c>
      <c r="E36" s="48" t="n">
        <v>12406034.88</v>
      </c>
      <c r="F36" s="48" t="n">
        <v>181710.96</v>
      </c>
      <c r="G36" s="48" t="n">
        <v>213740.52</v>
      </c>
      <c r="H36" s="48" t="n">
        <v>0</v>
      </c>
      <c r="I36" s="48" t="n">
        <v>-39556.08</v>
      </c>
      <c r="J36" s="48" t="n">
        <v>-117422.04</v>
      </c>
      <c r="K36" s="48" t="n">
        <v>238473.36</v>
      </c>
      <c r="L36" s="48" t="n">
        <v>12644508.24</v>
      </c>
    </row>
    <row r="37">
      <c r="A37" s="138" t="n">
        <v>45930</v>
      </c>
      <c r="B37" s="19" t="inlineStr">
        <is>
          <t>Sep-25</t>
        </is>
      </c>
      <c r="C37" s="19" t="inlineStr">
        <is>
          <t>Enterprise</t>
        </is>
      </c>
      <c r="D37" s="19" t="inlineStr">
        <is>
          <t>Actual</t>
        </is>
      </c>
      <c r="E37" s="48" t="n">
        <v>11017122.48</v>
      </c>
      <c r="F37" s="48" t="n">
        <v>0</v>
      </c>
      <c r="G37" s="48" t="n">
        <v>28725.96</v>
      </c>
      <c r="H37" s="48" t="n">
        <v>0</v>
      </c>
      <c r="I37" s="48" t="n">
        <v>0</v>
      </c>
      <c r="J37" s="48" t="n">
        <v>0</v>
      </c>
      <c r="K37" s="48" t="n">
        <v>28725.96</v>
      </c>
      <c r="L37" s="48" t="n">
        <v>11045848.44</v>
      </c>
    </row>
    <row r="38">
      <c r="A38" s="138" t="n">
        <v>45961</v>
      </c>
      <c r="B38" s="19" t="inlineStr">
        <is>
          <t>Oct-25</t>
        </is>
      </c>
      <c r="C38" s="19" t="inlineStr">
        <is>
          <t>Total</t>
        </is>
      </c>
      <c r="D38" s="19" t="inlineStr">
        <is>
          <t>Actual</t>
        </is>
      </c>
      <c r="E38" s="48" t="n">
        <v>28118371.32</v>
      </c>
      <c r="F38" s="48" t="n">
        <v>427038.12</v>
      </c>
      <c r="G38" s="48" t="n">
        <v>493697.64</v>
      </c>
      <c r="H38" s="48" t="n">
        <v>0</v>
      </c>
      <c r="I38" s="48" t="n">
        <v>-124445.04</v>
      </c>
      <c r="J38" s="48" t="n">
        <v>-162396</v>
      </c>
      <c r="K38" s="48" t="n">
        <v>633894.72</v>
      </c>
      <c r="L38" s="48" t="n">
        <v>28752266.04</v>
      </c>
    </row>
    <row r="39">
      <c r="A39" s="138" t="n">
        <v>45961</v>
      </c>
      <c r="B39" s="19" t="inlineStr">
        <is>
          <t>Oct-25</t>
        </is>
      </c>
      <c r="C39" s="19" t="inlineStr">
        <is>
          <t>SMB</t>
        </is>
      </c>
      <c r="D39" s="19" t="inlineStr">
        <is>
          <t>Actual</t>
        </is>
      </c>
      <c r="E39" s="48" t="n">
        <v>4428014.64</v>
      </c>
      <c r="F39" s="48" t="n">
        <v>127234.92</v>
      </c>
      <c r="G39" s="48" t="n">
        <v>47070.84</v>
      </c>
      <c r="H39" s="48" t="n">
        <v>0</v>
      </c>
      <c r="I39" s="48" t="n">
        <v>-1302.24</v>
      </c>
      <c r="J39" s="48" t="n">
        <v>-70241.75999999999</v>
      </c>
      <c r="K39" s="48" t="n">
        <v>102761.76</v>
      </c>
      <c r="L39" s="48" t="n">
        <v>4530776.4</v>
      </c>
    </row>
    <row r="40">
      <c r="A40" s="138" t="n">
        <v>45961</v>
      </c>
      <c r="B40" s="19" t="inlineStr">
        <is>
          <t>Oct-25</t>
        </is>
      </c>
      <c r="C40" s="19" t="inlineStr">
        <is>
          <t>Mid-Market</t>
        </is>
      </c>
      <c r="D40" s="19" t="inlineStr">
        <is>
          <t>Actual</t>
        </is>
      </c>
      <c r="E40" s="48" t="n">
        <v>12644508.24</v>
      </c>
      <c r="F40" s="48" t="n">
        <v>234131.64</v>
      </c>
      <c r="G40" s="48" t="n">
        <v>410378.76</v>
      </c>
      <c r="H40" s="48" t="n">
        <v>0</v>
      </c>
      <c r="I40" s="48" t="n">
        <v>-83631.60000000001</v>
      </c>
      <c r="J40" s="48" t="n">
        <v>-92154.24000000001</v>
      </c>
      <c r="K40" s="48" t="n">
        <v>468724.5600000001</v>
      </c>
      <c r="L40" s="48" t="n">
        <v>13113232.8</v>
      </c>
    </row>
    <row r="41">
      <c r="A41" s="138" t="n">
        <v>45961</v>
      </c>
      <c r="B41" s="19" t="inlineStr">
        <is>
          <t>Oct-25</t>
        </is>
      </c>
      <c r="C41" s="19" t="inlineStr">
        <is>
          <t>Enterprise</t>
        </is>
      </c>
      <c r="D41" s="19" t="inlineStr">
        <is>
          <t>Actual</t>
        </is>
      </c>
      <c r="E41" s="48" t="n">
        <v>11045848.44</v>
      </c>
      <c r="F41" s="48" t="n">
        <v>65671.56</v>
      </c>
      <c r="G41" s="48" t="n">
        <v>36248.04</v>
      </c>
      <c r="H41" s="48" t="n">
        <v>0</v>
      </c>
      <c r="I41" s="48" t="n">
        <v>-39511.2</v>
      </c>
      <c r="J41" s="48" t="n">
        <v>0</v>
      </c>
      <c r="K41" s="48" t="n">
        <v>62408.40000000001</v>
      </c>
      <c r="L41" s="48" t="n">
        <v>11108256.84</v>
      </c>
    </row>
    <row r="42">
      <c r="A42" s="138" t="n">
        <v>45991</v>
      </c>
      <c r="B42" s="19" t="inlineStr">
        <is>
          <t>Nov-25</t>
        </is>
      </c>
      <c r="C42" s="19" t="inlineStr">
        <is>
          <t>Total</t>
        </is>
      </c>
      <c r="D42" s="19" t="inlineStr">
        <is>
          <t>Actual</t>
        </is>
      </c>
      <c r="E42" s="48" t="n">
        <v>28752266.04</v>
      </c>
      <c r="F42" s="48" t="n">
        <v>771199.2</v>
      </c>
      <c r="G42" s="48" t="n">
        <v>366765</v>
      </c>
      <c r="H42" s="48" t="n">
        <v>0</v>
      </c>
      <c r="I42" s="48" t="n">
        <v>-173070.72</v>
      </c>
      <c r="J42" s="48" t="n">
        <v>-328723.8</v>
      </c>
      <c r="K42" s="48" t="n">
        <v>636169.6799999999</v>
      </c>
      <c r="L42" s="48" t="n">
        <v>29388435.72</v>
      </c>
    </row>
    <row r="43">
      <c r="A43" s="138" t="n">
        <v>45991</v>
      </c>
      <c r="B43" s="19" t="inlineStr">
        <is>
          <t>Nov-25</t>
        </is>
      </c>
      <c r="C43" s="19" t="inlineStr">
        <is>
          <t>SMB</t>
        </is>
      </c>
      <c r="D43" s="19" t="inlineStr">
        <is>
          <t>Actual</t>
        </is>
      </c>
      <c r="E43" s="48" t="n">
        <v>4530776.4</v>
      </c>
      <c r="F43" s="48" t="n">
        <v>123851.88</v>
      </c>
      <c r="G43" s="48" t="n">
        <v>51844.56</v>
      </c>
      <c r="H43" s="48" t="n">
        <v>0</v>
      </c>
      <c r="I43" s="48" t="n">
        <v>-29296.56</v>
      </c>
      <c r="J43" s="48" t="n">
        <v>-47321.88</v>
      </c>
      <c r="K43" s="48" t="n">
        <v>99078</v>
      </c>
      <c r="L43" s="48" t="n">
        <v>4629854.4</v>
      </c>
    </row>
    <row r="44">
      <c r="A44" s="138" t="n">
        <v>45991</v>
      </c>
      <c r="B44" s="19" t="inlineStr">
        <is>
          <t>Nov-25</t>
        </is>
      </c>
      <c r="C44" s="19" t="inlineStr">
        <is>
          <t>Mid-Market</t>
        </is>
      </c>
      <c r="D44" s="19" t="inlineStr">
        <is>
          <t>Actual</t>
        </is>
      </c>
      <c r="E44" s="48" t="n">
        <v>13113232.8</v>
      </c>
      <c r="F44" s="48" t="n">
        <v>209784.84</v>
      </c>
      <c r="G44" s="48" t="n">
        <v>203994.12</v>
      </c>
      <c r="H44" s="48" t="n">
        <v>0</v>
      </c>
      <c r="I44" s="48" t="n">
        <v>-143774.16</v>
      </c>
      <c r="J44" s="48" t="n">
        <v>-28781.28</v>
      </c>
      <c r="K44" s="48" t="n">
        <v>241223.5199999999</v>
      </c>
      <c r="L44" s="48" t="n">
        <v>13354456.32</v>
      </c>
    </row>
    <row r="45">
      <c r="A45" s="138" t="n">
        <v>45991</v>
      </c>
      <c r="B45" s="19" t="inlineStr">
        <is>
          <t>Nov-25</t>
        </is>
      </c>
      <c r="C45" s="19" t="inlineStr">
        <is>
          <t>Enterprise</t>
        </is>
      </c>
      <c r="D45" s="19" t="inlineStr">
        <is>
          <t>Actual</t>
        </is>
      </c>
      <c r="E45" s="48" t="n">
        <v>11108256.84</v>
      </c>
      <c r="F45" s="48" t="n">
        <v>437562.48</v>
      </c>
      <c r="G45" s="48" t="n">
        <v>110926.32</v>
      </c>
      <c r="H45" s="48" t="n">
        <v>0</v>
      </c>
      <c r="I45" s="48" t="n">
        <v>0</v>
      </c>
      <c r="J45" s="48" t="n">
        <v>-252620.64</v>
      </c>
      <c r="K45" s="48" t="n">
        <v>295868.16</v>
      </c>
      <c r="L45" s="48" t="n">
        <v>11404125</v>
      </c>
    </row>
    <row r="46">
      <c r="A46" s="138" t="n">
        <v>46022</v>
      </c>
      <c r="B46" s="19" t="inlineStr">
        <is>
          <t>Dec-25</t>
        </is>
      </c>
      <c r="C46" s="19" t="inlineStr">
        <is>
          <t>Total</t>
        </is>
      </c>
      <c r="D46" s="19" t="inlineStr">
        <is>
          <t>Actual</t>
        </is>
      </c>
      <c r="E46" s="48" t="n">
        <v>29388435.72</v>
      </c>
      <c r="F46" s="48" t="n">
        <v>815749.3200000001</v>
      </c>
      <c r="G46" s="48" t="n">
        <v>245648.28</v>
      </c>
      <c r="H46" s="48" t="n">
        <v>37735.8</v>
      </c>
      <c r="I46" s="48" t="n">
        <v>-77452.2</v>
      </c>
      <c r="J46" s="48" t="n">
        <v>-220801.08</v>
      </c>
      <c r="K46" s="48" t="n">
        <v>800880.1200000002</v>
      </c>
      <c r="L46" s="48" t="n">
        <v>30189315.84</v>
      </c>
    </row>
    <row r="47">
      <c r="A47" s="138" t="n">
        <v>46022</v>
      </c>
      <c r="B47" s="19" t="inlineStr">
        <is>
          <t>Dec-25</t>
        </is>
      </c>
      <c r="C47" s="19" t="inlineStr">
        <is>
          <t>SMB</t>
        </is>
      </c>
      <c r="D47" s="19" t="inlineStr">
        <is>
          <t>Actual</t>
        </is>
      </c>
      <c r="E47" s="48" t="n">
        <v>4629854.4</v>
      </c>
      <c r="F47" s="48" t="n">
        <v>290647.08</v>
      </c>
      <c r="G47" s="48" t="n">
        <v>42114.6</v>
      </c>
      <c r="H47" s="48" t="n">
        <v>7295.16</v>
      </c>
      <c r="I47" s="48" t="n">
        <v>-13220.52</v>
      </c>
      <c r="J47" s="48" t="n">
        <v>-175538.64</v>
      </c>
      <c r="K47" s="48" t="n">
        <v>151297.6799999999</v>
      </c>
      <c r="L47" s="48" t="n">
        <v>4781152.08</v>
      </c>
    </row>
    <row r="48">
      <c r="A48" s="138" t="n">
        <v>46022</v>
      </c>
      <c r="B48" s="19" t="inlineStr">
        <is>
          <t>Dec-25</t>
        </is>
      </c>
      <c r="C48" s="19" t="inlineStr">
        <is>
          <t>Mid-Market</t>
        </is>
      </c>
      <c r="D48" s="19" t="inlineStr">
        <is>
          <t>Actual</t>
        </is>
      </c>
      <c r="E48" s="48" t="n">
        <v>13354456.32</v>
      </c>
      <c r="F48" s="48" t="n">
        <v>325019.88</v>
      </c>
      <c r="G48" s="48" t="n">
        <v>197098.44</v>
      </c>
      <c r="H48" s="48" t="n">
        <v>30440.64</v>
      </c>
      <c r="I48" s="48" t="n">
        <v>-55385.52</v>
      </c>
      <c r="J48" s="48" t="n">
        <v>-45262.44</v>
      </c>
      <c r="K48" s="48" t="n">
        <v>451910.9999999999</v>
      </c>
      <c r="L48" s="48" t="n">
        <v>13806367.32</v>
      </c>
    </row>
    <row r="49">
      <c r="A49" s="138" t="n">
        <v>46022</v>
      </c>
      <c r="B49" s="19" t="inlineStr">
        <is>
          <t>Dec-25</t>
        </is>
      </c>
      <c r="C49" s="19" t="inlineStr">
        <is>
          <t>Enterprise</t>
        </is>
      </c>
      <c r="D49" s="19" t="inlineStr">
        <is>
          <t>Actual</t>
        </is>
      </c>
      <c r="E49" s="48" t="n">
        <v>11404125</v>
      </c>
      <c r="F49" s="48" t="n">
        <v>200082.36</v>
      </c>
      <c r="G49" s="48" t="n">
        <v>6435.24</v>
      </c>
      <c r="H49" s="48" t="n">
        <v>0</v>
      </c>
      <c r="I49" s="48" t="n">
        <v>-8846.16</v>
      </c>
      <c r="J49" s="48" t="n">
        <v>0</v>
      </c>
      <c r="K49" s="48" t="n">
        <v>197671.44</v>
      </c>
      <c r="L49" s="48" t="n">
        <v>11601796.44</v>
      </c>
    </row>
    <row r="50">
      <c r="A50" s="138" t="n">
        <v>46053</v>
      </c>
      <c r="B50" s="19" t="inlineStr">
        <is>
          <t>Jan-26</t>
        </is>
      </c>
      <c r="C50" s="19" t="inlineStr">
        <is>
          <t>Total</t>
        </is>
      </c>
      <c r="D50" s="19" t="inlineStr">
        <is>
          <t>Actual</t>
        </is>
      </c>
      <c r="E50" s="48" t="n">
        <v>30189315.84</v>
      </c>
      <c r="F50" s="48" t="n">
        <v>267424.44</v>
      </c>
      <c r="G50" s="48" t="n">
        <v>361621.2000000001</v>
      </c>
      <c r="H50" s="48" t="n">
        <v>3132</v>
      </c>
      <c r="I50" s="48" t="n">
        <v>-451736.88</v>
      </c>
      <c r="J50" s="48" t="n">
        <v>-188907.24</v>
      </c>
      <c r="K50" s="48" t="n">
        <v>-8466.479999999865</v>
      </c>
      <c r="L50" s="48" t="n">
        <v>30180849.36</v>
      </c>
    </row>
    <row r="51">
      <c r="A51" s="138" t="n">
        <v>46053</v>
      </c>
      <c r="B51" s="19" t="inlineStr">
        <is>
          <t>Jan-26</t>
        </is>
      </c>
      <c r="C51" s="19" t="inlineStr">
        <is>
          <t>SMB</t>
        </is>
      </c>
      <c r="D51" s="19" t="inlineStr">
        <is>
          <t>Actual</t>
        </is>
      </c>
      <c r="E51" s="48" t="n">
        <v>4781152.08</v>
      </c>
      <c r="F51" s="48" t="n">
        <v>71617.08</v>
      </c>
      <c r="G51" s="48" t="n">
        <v>40361.16</v>
      </c>
      <c r="H51" s="48" t="n">
        <v>3132</v>
      </c>
      <c r="I51" s="48" t="n">
        <v>-11535.24</v>
      </c>
      <c r="J51" s="48" t="n">
        <v>-134016.48</v>
      </c>
      <c r="K51" s="48" t="n">
        <v>-30441.48000000001</v>
      </c>
      <c r="L51" s="48" t="n">
        <v>4750710.6</v>
      </c>
    </row>
    <row r="52">
      <c r="A52" s="138" t="n">
        <v>46053</v>
      </c>
      <c r="B52" s="19" t="inlineStr">
        <is>
          <t>Jan-26</t>
        </is>
      </c>
      <c r="C52" s="19" t="inlineStr">
        <is>
          <t>Mid-Market</t>
        </is>
      </c>
      <c r="D52" s="19" t="inlineStr">
        <is>
          <t>Actual</t>
        </is>
      </c>
      <c r="E52" s="48" t="n">
        <v>13806367.32</v>
      </c>
      <c r="F52" s="48" t="n">
        <v>195807.36</v>
      </c>
      <c r="G52" s="48" t="n">
        <v>298280.4</v>
      </c>
      <c r="H52" s="48" t="n">
        <v>0</v>
      </c>
      <c r="I52" s="48" t="n">
        <v>-255434.88</v>
      </c>
      <c r="J52" s="48" t="n">
        <v>-54890.76</v>
      </c>
      <c r="K52" s="48" t="n">
        <v>183762.12</v>
      </c>
      <c r="L52" s="48" t="n">
        <v>13990129.44</v>
      </c>
    </row>
    <row r="53">
      <c r="A53" s="138" t="n">
        <v>46053</v>
      </c>
      <c r="B53" s="19" t="inlineStr">
        <is>
          <t>Jan-26</t>
        </is>
      </c>
      <c r="C53" s="19" t="inlineStr">
        <is>
          <t>Enterprise</t>
        </is>
      </c>
      <c r="D53" s="19" t="inlineStr">
        <is>
          <t>Actual</t>
        </is>
      </c>
      <c r="E53" s="48" t="n">
        <v>11601796.44</v>
      </c>
      <c r="F53" s="48" t="n">
        <v>0</v>
      </c>
      <c r="G53" s="48" t="n">
        <v>22979.64</v>
      </c>
      <c r="H53" s="48" t="n">
        <v>0</v>
      </c>
      <c r="I53" s="48" t="n">
        <v>-184766.76</v>
      </c>
      <c r="J53" s="48" t="n">
        <v>0</v>
      </c>
      <c r="K53" s="48" t="n">
        <v>-161787.12</v>
      </c>
      <c r="L53" s="48" t="n">
        <v>11440009.32</v>
      </c>
    </row>
    <row r="54">
      <c r="A54" s="138" t="n">
        <v>46081</v>
      </c>
      <c r="B54" s="19" t="inlineStr">
        <is>
          <t>Feb-26</t>
        </is>
      </c>
      <c r="C54" s="19" t="inlineStr">
        <is>
          <t>Total</t>
        </is>
      </c>
      <c r="D54" s="19" t="inlineStr">
        <is>
          <t>Actual</t>
        </is>
      </c>
      <c r="E54" s="48" t="n">
        <v>30180849.36</v>
      </c>
      <c r="F54" s="48" t="n">
        <v>347874.72</v>
      </c>
      <c r="G54" s="48" t="n">
        <v>303632.88</v>
      </c>
      <c r="H54" s="48" t="n">
        <v>10064.52</v>
      </c>
      <c r="I54" s="48" t="n">
        <v>-150335.16</v>
      </c>
      <c r="J54" s="48" t="n">
        <v>-113861.4</v>
      </c>
      <c r="K54" s="48" t="n">
        <v>397375.5600000001</v>
      </c>
      <c r="L54" s="48" t="n">
        <v>30578224.92</v>
      </c>
    </row>
    <row r="55">
      <c r="A55" s="138" t="n">
        <v>46081</v>
      </c>
      <c r="B55" s="19" t="inlineStr">
        <is>
          <t>Feb-26</t>
        </is>
      </c>
      <c r="C55" s="19" t="inlineStr">
        <is>
          <t>SMB</t>
        </is>
      </c>
      <c r="D55" s="19" t="inlineStr">
        <is>
          <t>Actual</t>
        </is>
      </c>
      <c r="E55" s="48" t="n">
        <v>4750710.6</v>
      </c>
      <c r="F55" s="48" t="n">
        <v>51735.72</v>
      </c>
      <c r="G55" s="48" t="n">
        <v>49117.32</v>
      </c>
      <c r="H55" s="48" t="n">
        <v>10064.52</v>
      </c>
      <c r="I55" s="48" t="n">
        <v>-12068.64</v>
      </c>
      <c r="J55" s="48" t="n">
        <v>-113861.4</v>
      </c>
      <c r="K55" s="48" t="n">
        <v>-15012.47999999998</v>
      </c>
      <c r="L55" s="48" t="n">
        <v>4735698.12</v>
      </c>
    </row>
    <row r="56">
      <c r="A56" s="138" t="n">
        <v>46081</v>
      </c>
      <c r="B56" s="19" t="inlineStr">
        <is>
          <t>Feb-26</t>
        </is>
      </c>
      <c r="C56" s="19" t="inlineStr">
        <is>
          <t>Mid-Market</t>
        </is>
      </c>
      <c r="D56" s="19" t="inlineStr">
        <is>
          <t>Actual</t>
        </is>
      </c>
      <c r="E56" s="48" t="n">
        <v>13990129.44</v>
      </c>
      <c r="F56" s="48" t="n">
        <v>131305.44</v>
      </c>
      <c r="G56" s="48" t="n">
        <v>197938.44</v>
      </c>
      <c r="H56" s="48" t="n">
        <v>0</v>
      </c>
      <c r="I56" s="48" t="n">
        <v>-138266.52</v>
      </c>
      <c r="J56" s="48" t="n">
        <v>0</v>
      </c>
      <c r="K56" s="48" t="n">
        <v>190977.36</v>
      </c>
      <c r="L56" s="48" t="n">
        <v>14181106.8</v>
      </c>
    </row>
    <row r="57">
      <c r="A57" s="138" t="n">
        <v>46081</v>
      </c>
      <c r="B57" s="19" t="inlineStr">
        <is>
          <t>Feb-26</t>
        </is>
      </c>
      <c r="C57" s="19" t="inlineStr">
        <is>
          <t>Enterprise</t>
        </is>
      </c>
      <c r="D57" s="19" t="inlineStr">
        <is>
          <t>Actual</t>
        </is>
      </c>
      <c r="E57" s="48" t="n">
        <v>11440009.32</v>
      </c>
      <c r="F57" s="48" t="n">
        <v>164833.56</v>
      </c>
      <c r="G57" s="48" t="n">
        <v>56577.12</v>
      </c>
      <c r="H57" s="48" t="n">
        <v>0</v>
      </c>
      <c r="I57" s="48" t="n">
        <v>0</v>
      </c>
      <c r="J57" s="48" t="n">
        <v>0</v>
      </c>
      <c r="K57" s="48" t="n">
        <v>221410.68</v>
      </c>
      <c r="L57" s="48" t="n">
        <v>11661420</v>
      </c>
    </row>
    <row r="58">
      <c r="A58" s="138" t="n">
        <v>46112</v>
      </c>
      <c r="B58" s="19" t="inlineStr">
        <is>
          <t>Mar-26</t>
        </is>
      </c>
      <c r="C58" s="19" t="inlineStr">
        <is>
          <t>Total</t>
        </is>
      </c>
      <c r="D58" s="19" t="inlineStr">
        <is>
          <t>Actual</t>
        </is>
      </c>
      <c r="E58" s="48" t="n">
        <v>30578224.92</v>
      </c>
      <c r="F58" s="48" t="n">
        <v>452642.28</v>
      </c>
      <c r="G58" s="48" t="n">
        <v>237688.44</v>
      </c>
      <c r="H58" s="48" t="n">
        <v>7982.76</v>
      </c>
      <c r="I58" s="48" t="n">
        <v>-205926.12</v>
      </c>
      <c r="J58" s="48" t="n">
        <v>-233182.92</v>
      </c>
      <c r="K58" s="48" t="n">
        <v>259204.44</v>
      </c>
      <c r="L58" s="48" t="n">
        <v>30837429.36</v>
      </c>
    </row>
    <row r="59">
      <c r="A59" s="138" t="n">
        <v>46112</v>
      </c>
      <c r="B59" s="19" t="inlineStr">
        <is>
          <t>Mar-26</t>
        </is>
      </c>
      <c r="C59" s="19" t="inlineStr">
        <is>
          <t>SMB</t>
        </is>
      </c>
      <c r="D59" s="19" t="inlineStr">
        <is>
          <t>Actual</t>
        </is>
      </c>
      <c r="E59" s="48" t="n">
        <v>4735698.12</v>
      </c>
      <c r="F59" s="48" t="n">
        <v>122782.8</v>
      </c>
      <c r="G59" s="48" t="n">
        <v>51014.76</v>
      </c>
      <c r="H59" s="48" t="n">
        <v>7982.76</v>
      </c>
      <c r="I59" s="48" t="n">
        <v>-4116</v>
      </c>
      <c r="J59" s="48" t="n">
        <v>-114346.56</v>
      </c>
      <c r="K59" s="48" t="n">
        <v>63317.76000000001</v>
      </c>
      <c r="L59" s="48" t="n">
        <v>4799015.88</v>
      </c>
    </row>
    <row r="60">
      <c r="A60" s="138" t="n">
        <v>46112</v>
      </c>
      <c r="B60" s="19" t="inlineStr">
        <is>
          <t>Mar-26</t>
        </is>
      </c>
      <c r="C60" s="19" t="inlineStr">
        <is>
          <t>Mid-Market</t>
        </is>
      </c>
      <c r="D60" s="19" t="inlineStr">
        <is>
          <t>Actual</t>
        </is>
      </c>
      <c r="E60" s="48" t="n">
        <v>14181106.8</v>
      </c>
      <c r="F60" s="48" t="n">
        <v>207565.32</v>
      </c>
      <c r="G60" s="48" t="n">
        <v>176055.84</v>
      </c>
      <c r="H60" s="48" t="n">
        <v>0</v>
      </c>
      <c r="I60" s="48" t="n">
        <v>-201810.12</v>
      </c>
      <c r="J60" s="48" t="n">
        <v>-118836.36</v>
      </c>
      <c r="K60" s="48" t="n">
        <v>62974.68000000004</v>
      </c>
      <c r="L60" s="48" t="n">
        <v>14244081.48</v>
      </c>
    </row>
    <row r="61">
      <c r="A61" s="138" t="n">
        <v>46112</v>
      </c>
      <c r="B61" s="19" t="inlineStr">
        <is>
          <t>Mar-26</t>
        </is>
      </c>
      <c r="C61" s="19" t="inlineStr">
        <is>
          <t>Enterprise</t>
        </is>
      </c>
      <c r="D61" s="19" t="inlineStr">
        <is>
          <t>Actual</t>
        </is>
      </c>
      <c r="E61" s="48" t="n">
        <v>11661420</v>
      </c>
      <c r="F61" s="48" t="n">
        <v>122294.16</v>
      </c>
      <c r="G61" s="48" t="n">
        <v>10617.84</v>
      </c>
      <c r="H61" s="48" t="n">
        <v>0</v>
      </c>
      <c r="I61" s="48" t="n">
        <v>0</v>
      </c>
      <c r="J61" s="48" t="n">
        <v>0</v>
      </c>
      <c r="K61" s="48" t="n">
        <v>132912</v>
      </c>
      <c r="L61" s="48" t="n">
        <v>11794332</v>
      </c>
    </row>
    <row r="62">
      <c r="A62" s="138" t="n">
        <v>46142</v>
      </c>
      <c r="B62" s="19" t="inlineStr">
        <is>
          <t>Apr-26</t>
        </is>
      </c>
      <c r="C62" s="19" t="inlineStr">
        <is>
          <t>Total</t>
        </is>
      </c>
      <c r="D62" s="19" t="inlineStr">
        <is>
          <t>Actual</t>
        </is>
      </c>
      <c r="E62" s="48" t="n">
        <v>30837429.36</v>
      </c>
      <c r="F62" s="48" t="n">
        <v>134448.48</v>
      </c>
      <c r="G62" s="48" t="n">
        <v>820157.04</v>
      </c>
      <c r="H62" s="48" t="n">
        <v>3643.2</v>
      </c>
      <c r="I62" s="48" t="n">
        <v>-61498.8</v>
      </c>
      <c r="J62" s="48" t="n">
        <v>-286825.44</v>
      </c>
      <c r="K62" s="48" t="n">
        <v>609924.48</v>
      </c>
      <c r="L62" s="48" t="n">
        <v>31447353.84</v>
      </c>
    </row>
    <row r="63">
      <c r="A63" s="138" t="n">
        <v>46142</v>
      </c>
      <c r="B63" s="19" t="inlineStr">
        <is>
          <t>Apr-26</t>
        </is>
      </c>
      <c r="C63" s="19" t="inlineStr">
        <is>
          <t>SMB</t>
        </is>
      </c>
      <c r="D63" s="19" t="inlineStr">
        <is>
          <t>Actual</t>
        </is>
      </c>
      <c r="E63" s="48" t="n">
        <v>4799015.88</v>
      </c>
      <c r="F63" s="48" t="n">
        <v>72235.92</v>
      </c>
      <c r="G63" s="48" t="n">
        <v>46655.4</v>
      </c>
      <c r="H63" s="48" t="n">
        <v>3643.2</v>
      </c>
      <c r="I63" s="48" t="n">
        <v>-22612.44</v>
      </c>
      <c r="J63" s="48" t="n">
        <v>-118468.2</v>
      </c>
      <c r="K63" s="48" t="n">
        <v>-18546.12</v>
      </c>
      <c r="L63" s="48" t="n">
        <v>4780469.76</v>
      </c>
    </row>
    <row r="64">
      <c r="A64" s="138" t="n">
        <v>46142</v>
      </c>
      <c r="B64" s="19" t="inlineStr">
        <is>
          <t>Apr-26</t>
        </is>
      </c>
      <c r="C64" s="19" t="inlineStr">
        <is>
          <t>Mid-Market</t>
        </is>
      </c>
      <c r="D64" s="19" t="inlineStr">
        <is>
          <t>Actual</t>
        </is>
      </c>
      <c r="E64" s="48" t="n">
        <v>14244081.48</v>
      </c>
      <c r="F64" s="48" t="n">
        <v>62212.56</v>
      </c>
      <c r="G64" s="48" t="n">
        <v>387264</v>
      </c>
      <c r="H64" s="48" t="n">
        <v>0</v>
      </c>
      <c r="I64" s="48" t="n">
        <v>-11279.28</v>
      </c>
      <c r="J64" s="48" t="n">
        <v>-168357.24</v>
      </c>
      <c r="K64" s="48" t="n">
        <v>269840.04</v>
      </c>
      <c r="L64" s="48" t="n">
        <v>14513921.52</v>
      </c>
    </row>
    <row r="65">
      <c r="A65" s="138" t="n">
        <v>46142</v>
      </c>
      <c r="B65" s="19" t="inlineStr">
        <is>
          <t>Apr-26</t>
        </is>
      </c>
      <c r="C65" s="19" t="inlineStr">
        <is>
          <t>Enterprise</t>
        </is>
      </c>
      <c r="D65" s="19" t="inlineStr">
        <is>
          <t>Actual</t>
        </is>
      </c>
      <c r="E65" s="48" t="n">
        <v>11794332</v>
      </c>
      <c r="F65" s="48" t="n">
        <v>0</v>
      </c>
      <c r="G65" s="48" t="n">
        <v>386237.64</v>
      </c>
      <c r="H65" s="48" t="n">
        <v>0</v>
      </c>
      <c r="I65" s="48" t="n">
        <v>-27607.08</v>
      </c>
      <c r="J65" s="48" t="n">
        <v>0</v>
      </c>
      <c r="K65" s="48" t="n">
        <v>358630.56</v>
      </c>
      <c r="L65" s="48" t="n">
        <v>12152962.56</v>
      </c>
    </row>
    <row r="66">
      <c r="A66" s="138" t="n">
        <v>46173</v>
      </c>
      <c r="B66" s="19" t="inlineStr">
        <is>
          <t>May-26</t>
        </is>
      </c>
      <c r="C66" s="19" t="inlineStr">
        <is>
          <t>Total</t>
        </is>
      </c>
      <c r="D66" s="19" t="inlineStr">
        <is>
          <t>Actual</t>
        </is>
      </c>
      <c r="E66" s="48" t="n">
        <v>31447353.84</v>
      </c>
      <c r="F66" s="48" t="n">
        <v>170863.2</v>
      </c>
      <c r="G66" s="48" t="n">
        <v>1119731.4</v>
      </c>
      <c r="H66" s="48" t="n">
        <v>14374.56</v>
      </c>
      <c r="I66" s="48" t="n">
        <v>-139362.12</v>
      </c>
      <c r="J66" s="48" t="n">
        <v>-119750.52</v>
      </c>
      <c r="K66" s="48" t="n">
        <v>1045856.52</v>
      </c>
      <c r="L66" s="48" t="n">
        <v>32493210.36</v>
      </c>
    </row>
    <row r="67">
      <c r="A67" s="138" t="n">
        <v>46173</v>
      </c>
      <c r="B67" s="19" t="inlineStr">
        <is>
          <t>May-26</t>
        </is>
      </c>
      <c r="C67" s="19" t="inlineStr">
        <is>
          <t>SMB</t>
        </is>
      </c>
      <c r="D67" s="19" t="inlineStr">
        <is>
          <t>Actual</t>
        </is>
      </c>
      <c r="E67" s="48" t="n">
        <v>4780469.76</v>
      </c>
      <c r="F67" s="48" t="n">
        <v>84944.52</v>
      </c>
      <c r="G67" s="48" t="n">
        <v>48814.32</v>
      </c>
      <c r="H67" s="48" t="n">
        <v>14374.56</v>
      </c>
      <c r="I67" s="48" t="n">
        <v>-19640.64</v>
      </c>
      <c r="J67" s="48" t="n">
        <v>-119750.52</v>
      </c>
      <c r="K67" s="48" t="n">
        <v>8742.239999999991</v>
      </c>
      <c r="L67" s="48" t="n">
        <v>4789212</v>
      </c>
    </row>
    <row r="68">
      <c r="A68" s="138" t="n">
        <v>46173</v>
      </c>
      <c r="B68" s="19" t="inlineStr">
        <is>
          <t>May-26</t>
        </is>
      </c>
      <c r="C68" s="19" t="inlineStr">
        <is>
          <t>Mid-Market</t>
        </is>
      </c>
      <c r="D68" s="19" t="inlineStr">
        <is>
          <t>Actual</t>
        </is>
      </c>
      <c r="E68" s="48" t="n">
        <v>14513921.52</v>
      </c>
      <c r="F68" s="48" t="n">
        <v>85918.67999999999</v>
      </c>
      <c r="G68" s="48" t="n">
        <v>558817.5600000001</v>
      </c>
      <c r="H68" s="48" t="n">
        <v>0</v>
      </c>
      <c r="I68" s="48" t="n">
        <v>-76407.12</v>
      </c>
      <c r="J68" s="48" t="n">
        <v>0</v>
      </c>
      <c r="K68" s="48" t="n">
        <v>568329.12</v>
      </c>
      <c r="L68" s="48" t="n">
        <v>15082250.64</v>
      </c>
    </row>
    <row r="69">
      <c r="A69" s="138" t="n">
        <v>46173</v>
      </c>
      <c r="B69" s="19" t="inlineStr">
        <is>
          <t>May-26</t>
        </is>
      </c>
      <c r="C69" s="19" t="inlineStr">
        <is>
          <t>Enterprise</t>
        </is>
      </c>
      <c r="D69" s="19" t="inlineStr">
        <is>
          <t>Actual</t>
        </is>
      </c>
      <c r="E69" s="48" t="n">
        <v>12152962.56</v>
      </c>
      <c r="F69" s="48" t="n">
        <v>0</v>
      </c>
      <c r="G69" s="48" t="n">
        <v>512099.52</v>
      </c>
      <c r="H69" s="48" t="n">
        <v>0</v>
      </c>
      <c r="I69" s="48" t="n">
        <v>-43314.36</v>
      </c>
      <c r="J69" s="48" t="n">
        <v>0</v>
      </c>
      <c r="K69" s="48" t="n">
        <v>468785.16</v>
      </c>
      <c r="L69" s="48" t="n">
        <v>12621747.72</v>
      </c>
    </row>
    <row r="70">
      <c r="A70" s="138" t="n">
        <v>46203</v>
      </c>
      <c r="B70" s="19" t="inlineStr">
        <is>
          <t>Jun-26</t>
        </is>
      </c>
      <c r="C70" s="19" t="inlineStr">
        <is>
          <t>Total</t>
        </is>
      </c>
      <c r="D70" s="19" t="inlineStr">
        <is>
          <t>Actual</t>
        </is>
      </c>
      <c r="E70" s="48" t="n">
        <v>32493210.36</v>
      </c>
      <c r="F70" s="48" t="n">
        <v>650292.36</v>
      </c>
      <c r="G70" s="48" t="n">
        <v>510603.96</v>
      </c>
      <c r="H70" s="48" t="n">
        <v>20643.24</v>
      </c>
      <c r="I70" s="48" t="n">
        <v>-95907.84</v>
      </c>
      <c r="J70" s="48" t="n">
        <v>-562121.76</v>
      </c>
      <c r="K70" s="48" t="n">
        <v>523509.96</v>
      </c>
      <c r="L70" s="48" t="n">
        <v>33016720.32</v>
      </c>
    </row>
    <row r="71">
      <c r="A71" s="138" t="n">
        <v>46203</v>
      </c>
      <c r="B71" s="19" t="inlineStr">
        <is>
          <t>Jun-26</t>
        </is>
      </c>
      <c r="C71" s="19" t="inlineStr">
        <is>
          <t>SMB</t>
        </is>
      </c>
      <c r="D71" s="19" t="inlineStr">
        <is>
          <t>Actual</t>
        </is>
      </c>
      <c r="E71" s="48" t="n">
        <v>4789212</v>
      </c>
      <c r="F71" s="48" t="n">
        <v>83896.56</v>
      </c>
      <c r="G71" s="48" t="n">
        <v>43557.6</v>
      </c>
      <c r="H71" s="48" t="n">
        <v>20643.24</v>
      </c>
      <c r="I71" s="48" t="n">
        <v>-22324.08</v>
      </c>
      <c r="J71" s="48" t="n">
        <v>-90196.44</v>
      </c>
      <c r="K71" s="48" t="n">
        <v>35576.87999999999</v>
      </c>
      <c r="L71" s="48" t="n">
        <v>4824788.88</v>
      </c>
    </row>
    <row r="72">
      <c r="A72" s="138" t="n">
        <v>46203</v>
      </c>
      <c r="B72" s="19" t="inlineStr">
        <is>
          <t>Jun-26</t>
        </is>
      </c>
      <c r="C72" s="19" t="inlineStr">
        <is>
          <t>Mid-Market</t>
        </is>
      </c>
      <c r="D72" s="19" t="inlineStr">
        <is>
          <t>Actual</t>
        </is>
      </c>
      <c r="E72" s="48" t="n">
        <v>15082250.64</v>
      </c>
      <c r="F72" s="48" t="n">
        <v>134640.12</v>
      </c>
      <c r="G72" s="48" t="n">
        <v>420598.44</v>
      </c>
      <c r="H72" s="48" t="n">
        <v>0</v>
      </c>
      <c r="I72" s="48" t="n">
        <v>-73583.75999999999</v>
      </c>
      <c r="J72" s="48" t="n">
        <v>-64078.08</v>
      </c>
      <c r="K72" s="48" t="n">
        <v>417576.72</v>
      </c>
      <c r="L72" s="48" t="n">
        <v>15499827.36</v>
      </c>
    </row>
    <row r="73">
      <c r="A73" s="138" t="n">
        <v>46203</v>
      </c>
      <c r="B73" s="19" t="inlineStr">
        <is>
          <t>Jun-26</t>
        </is>
      </c>
      <c r="C73" s="19" t="inlineStr">
        <is>
          <t>Enterprise</t>
        </is>
      </c>
      <c r="D73" s="19" t="inlineStr">
        <is>
          <t>Actual</t>
        </is>
      </c>
      <c r="E73" s="48" t="n">
        <v>12621747.72</v>
      </c>
      <c r="F73" s="48" t="n">
        <v>431755.68</v>
      </c>
      <c r="G73" s="48" t="n">
        <v>46447.92</v>
      </c>
      <c r="H73" s="48" t="n">
        <v>0</v>
      </c>
      <c r="I73" s="48" t="n">
        <v>0</v>
      </c>
      <c r="J73" s="48" t="n">
        <v>-407847.24</v>
      </c>
      <c r="K73" s="48" t="n">
        <v>70356.35999999999</v>
      </c>
      <c r="L73" s="48" t="n">
        <v>12692104.08</v>
      </c>
    </row>
    <row r="74">
      <c r="A74" s="138" t="n">
        <v>46234</v>
      </c>
      <c r="B74" s="19" t="inlineStr">
        <is>
          <t>Jul-26</t>
        </is>
      </c>
      <c r="C74" s="19" t="inlineStr">
        <is>
          <t>Total</t>
        </is>
      </c>
      <c r="D74" s="19" t="inlineStr">
        <is>
          <t>Base Reforecast</t>
        </is>
      </c>
      <c r="E74" s="48" t="n">
        <v>33016720.32</v>
      </c>
      <c r="F74" s="48" t="n">
        <v>379723.8431657766</v>
      </c>
      <c r="G74" s="48" t="n">
        <v>514111.2721585745</v>
      </c>
      <c r="H74" s="48" t="n">
        <v>8534.9</v>
      </c>
      <c r="I74" s="48" t="n">
        <v>-86848.2886515485</v>
      </c>
      <c r="J74" s="48" t="n">
        <v>-160575.3263550167</v>
      </c>
      <c r="K74" s="48" t="n">
        <v>654946.400317786</v>
      </c>
      <c r="L74" s="48" t="n">
        <v>33671666.72031779</v>
      </c>
    </row>
    <row r="75">
      <c r="A75" s="138" t="n">
        <v>46234</v>
      </c>
      <c r="B75" s="19" t="inlineStr">
        <is>
          <t>Jul-26</t>
        </is>
      </c>
      <c r="C75" s="19" t="inlineStr">
        <is>
          <t>SMB</t>
        </is>
      </c>
      <c r="D75" s="19" t="inlineStr">
        <is>
          <t>Base Reforecast</t>
        </is>
      </c>
      <c r="E75" s="48" t="n">
        <v>4824788.88</v>
      </c>
      <c r="F75" s="48" t="n">
        <v>116171.043027238</v>
      </c>
      <c r="G75" s="48" t="n">
        <v>50432.01746955836</v>
      </c>
      <c r="H75" s="48" t="n">
        <v>5998.18</v>
      </c>
      <c r="I75" s="48" t="n">
        <v>-10173.78275726076</v>
      </c>
      <c r="J75" s="48" t="n">
        <v>-84418.5063680751</v>
      </c>
      <c r="K75" s="48" t="n">
        <v>78008.95137146047</v>
      </c>
      <c r="L75" s="48" t="n">
        <v>4902797.83137146</v>
      </c>
    </row>
    <row r="76">
      <c r="A76" s="138" t="n">
        <v>46234</v>
      </c>
      <c r="B76" s="19" t="inlineStr">
        <is>
          <t>Jul-26</t>
        </is>
      </c>
      <c r="C76" s="19" t="inlineStr">
        <is>
          <t>Mid-Market</t>
        </is>
      </c>
      <c r="D76" s="19" t="inlineStr">
        <is>
          <t>Base Reforecast</t>
        </is>
      </c>
      <c r="E76" s="48" t="n">
        <v>15499827.36</v>
      </c>
      <c r="F76" s="48" t="n">
        <v>181984.7401385386</v>
      </c>
      <c r="G76" s="48" t="n">
        <v>344121.12452739</v>
      </c>
      <c r="H76" s="48" t="n">
        <v>2536.72</v>
      </c>
      <c r="I76" s="48" t="n">
        <v>-76674.50589428774</v>
      </c>
      <c r="J76" s="48" t="n">
        <v>-76156.81998694164</v>
      </c>
      <c r="K76" s="48" t="n">
        <v>375811.2587846993</v>
      </c>
      <c r="L76" s="48" t="n">
        <v>15875638.6187847</v>
      </c>
    </row>
    <row r="77">
      <c r="A77" s="138" t="n">
        <v>46234</v>
      </c>
      <c r="B77" s="19" t="inlineStr">
        <is>
          <t>Jul-26</t>
        </is>
      </c>
      <c r="C77" s="19" t="inlineStr">
        <is>
          <t>Enterprise</t>
        </is>
      </c>
      <c r="D77" s="19" t="inlineStr">
        <is>
          <t>Base Reforecast</t>
        </is>
      </c>
      <c r="E77" s="48" t="n">
        <v>12692104.08</v>
      </c>
      <c r="F77" s="48" t="n">
        <v>81568.06</v>
      </c>
      <c r="G77" s="48" t="n">
        <v>119558.1301616262</v>
      </c>
      <c r="H77" s="48" t="n">
        <v>0</v>
      </c>
      <c r="I77" s="48" t="n">
        <v>-0</v>
      </c>
      <c r="J77" s="48" t="n">
        <v>-0</v>
      </c>
      <c r="K77" s="48" t="n">
        <v>201126.1901616262</v>
      </c>
      <c r="L77" s="48" t="n">
        <v>12893230.27016163</v>
      </c>
    </row>
    <row r="78">
      <c r="A78" s="138" t="n">
        <v>46265</v>
      </c>
      <c r="B78" s="19" t="inlineStr">
        <is>
          <t>Aug-26</t>
        </is>
      </c>
      <c r="C78" s="19" t="inlineStr">
        <is>
          <t>Total</t>
        </is>
      </c>
      <c r="D78" s="19" t="inlineStr">
        <is>
          <t>Base Reforecast</t>
        </is>
      </c>
      <c r="E78" s="48" t="n">
        <v>33671666.72031778</v>
      </c>
      <c r="F78" s="48" t="n">
        <v>78926.91212814295</v>
      </c>
      <c r="G78" s="48" t="n">
        <v>514111.2721585745</v>
      </c>
      <c r="H78" s="48" t="n">
        <v>8534.9</v>
      </c>
      <c r="I78" s="48" t="n">
        <v>-99397.34960386796</v>
      </c>
      <c r="J78" s="48" t="n">
        <v>-188223.0459561141</v>
      </c>
      <c r="K78" s="48" t="n">
        <v>313952.6887267355</v>
      </c>
      <c r="L78" s="48" t="n">
        <v>33985619.40904452</v>
      </c>
    </row>
    <row r="79">
      <c r="A79" s="138" t="n">
        <v>46265</v>
      </c>
      <c r="B79" s="19" t="inlineStr">
        <is>
          <t>Aug-26</t>
        </is>
      </c>
      <c r="C79" s="19" t="inlineStr">
        <is>
          <t>SMB</t>
        </is>
      </c>
      <c r="D79" s="19" t="inlineStr">
        <is>
          <t>Base Reforecast</t>
        </is>
      </c>
      <c r="E79" s="48" t="n">
        <v>4902797.83137146</v>
      </c>
      <c r="F79" s="48" t="n">
        <v>3638.936946983546</v>
      </c>
      <c r="G79" s="48" t="n">
        <v>50432.01746955836</v>
      </c>
      <c r="H79" s="48" t="n">
        <v>5998.18</v>
      </c>
      <c r="I79" s="48" t="n">
        <v>-13436.93839033711</v>
      </c>
      <c r="J79" s="48" t="n">
        <v>-96819.83710991776</v>
      </c>
      <c r="K79" s="48" t="n">
        <v>-50187.64108371296</v>
      </c>
      <c r="L79" s="48" t="n">
        <v>4852610.190287747</v>
      </c>
    </row>
    <row r="80">
      <c r="A80" s="138" t="n">
        <v>46265</v>
      </c>
      <c r="B80" s="19" t="inlineStr">
        <is>
          <t>Aug-26</t>
        </is>
      </c>
      <c r="C80" s="19" t="inlineStr">
        <is>
          <t>Mid-Market</t>
        </is>
      </c>
      <c r="D80" s="19" t="inlineStr">
        <is>
          <t>Base Reforecast</t>
        </is>
      </c>
      <c r="E80" s="48" t="n">
        <v>15875638.6187847</v>
      </c>
      <c r="F80" s="48" t="n">
        <v>29156.92768115942</v>
      </c>
      <c r="G80" s="48" t="n">
        <v>344121.12452739</v>
      </c>
      <c r="H80" s="48" t="n">
        <v>2536.72</v>
      </c>
      <c r="I80" s="48" t="n">
        <v>-60847.23690419867</v>
      </c>
      <c r="J80" s="48" t="n">
        <v>-60436.41251506361</v>
      </c>
      <c r="K80" s="48" t="n">
        <v>254531.1227892871</v>
      </c>
      <c r="L80" s="48" t="n">
        <v>16130169.74157399</v>
      </c>
    </row>
    <row r="81">
      <c r="A81" s="138" t="n">
        <v>46265</v>
      </c>
      <c r="B81" s="19" t="inlineStr">
        <is>
          <t>Aug-26</t>
        </is>
      </c>
      <c r="C81" s="19" t="inlineStr">
        <is>
          <t>Enterprise</t>
        </is>
      </c>
      <c r="D81" s="19" t="inlineStr">
        <is>
          <t>Base Reforecast</t>
        </is>
      </c>
      <c r="E81" s="48" t="n">
        <v>12893230.27016162</v>
      </c>
      <c r="F81" s="48" t="n">
        <v>46131.0475</v>
      </c>
      <c r="G81" s="48" t="n">
        <v>119558.1301616262</v>
      </c>
      <c r="H81" s="48" t="n">
        <v>0</v>
      </c>
      <c r="I81" s="48" t="n">
        <v>-25113.17430933219</v>
      </c>
      <c r="J81" s="48" t="n">
        <v>-30966.79633113277</v>
      </c>
      <c r="K81" s="48" t="n">
        <v>109609.2070211612</v>
      </c>
      <c r="L81" s="48" t="n">
        <v>13002839.47718279</v>
      </c>
    </row>
    <row r="82">
      <c r="A82" s="138" t="n">
        <v>46295</v>
      </c>
      <c r="B82" s="19" t="inlineStr">
        <is>
          <t>Sep-26</t>
        </is>
      </c>
      <c r="C82" s="19" t="inlineStr">
        <is>
          <t>Total</t>
        </is>
      </c>
      <c r="D82" s="19" t="inlineStr">
        <is>
          <t>Base Reforecast</t>
        </is>
      </c>
      <c r="E82" s="48" t="n">
        <v>33985619.40904452</v>
      </c>
      <c r="F82" s="48" t="n">
        <v>10415.98618357488</v>
      </c>
      <c r="G82" s="48" t="n">
        <v>514111.2721585745</v>
      </c>
      <c r="H82" s="48" t="n">
        <v>8534.9</v>
      </c>
      <c r="I82" s="48" t="n">
        <v>-102725.1590022825</v>
      </c>
      <c r="J82" s="48" t="n">
        <v>-188558.2199998436</v>
      </c>
      <c r="K82" s="48" t="n">
        <v>241778.7793400233</v>
      </c>
      <c r="L82" s="48" t="n">
        <v>34227398.18838455</v>
      </c>
    </row>
    <row r="83">
      <c r="A83" s="138" t="n">
        <v>46295</v>
      </c>
      <c r="B83" s="19" t="inlineStr">
        <is>
          <t>Sep-26</t>
        </is>
      </c>
      <c r="C83" s="19" t="inlineStr">
        <is>
          <t>SMB</t>
        </is>
      </c>
      <c r="D83" s="19" t="inlineStr">
        <is>
          <t>Base Reforecast</t>
        </is>
      </c>
      <c r="E83" s="48" t="n">
        <v>4852610.190287747</v>
      </c>
      <c r="F83" s="48" t="n">
        <v>0</v>
      </c>
      <c r="G83" s="48" t="n">
        <v>50432.01746955836</v>
      </c>
      <c r="H83" s="48" t="n">
        <v>5998.18</v>
      </c>
      <c r="I83" s="48" t="n">
        <v>-11510.7823857741</v>
      </c>
      <c r="J83" s="48" t="n">
        <v>-89499.65371723886</v>
      </c>
      <c r="K83" s="48" t="n">
        <v>-44580.2386334546</v>
      </c>
      <c r="L83" s="48" t="n">
        <v>4808029.951654293</v>
      </c>
    </row>
    <row r="84">
      <c r="A84" s="138" t="n">
        <v>46295</v>
      </c>
      <c r="B84" s="19" t="inlineStr">
        <is>
          <t>Sep-26</t>
        </is>
      </c>
      <c r="C84" s="19" t="inlineStr">
        <is>
          <t>Mid-Market</t>
        </is>
      </c>
      <c r="D84" s="19" t="inlineStr">
        <is>
          <t>Base Reforecast</t>
        </is>
      </c>
      <c r="E84" s="48" t="n">
        <v>16130169.74157399</v>
      </c>
      <c r="F84" s="48" t="n">
        <v>10415.98618357488</v>
      </c>
      <c r="G84" s="48" t="n">
        <v>344121.12452739</v>
      </c>
      <c r="H84" s="48" t="n">
        <v>2536.72</v>
      </c>
      <c r="I84" s="48" t="n">
        <v>-55940.8831919013</v>
      </c>
      <c r="J84" s="48" t="n">
        <v>-55563.18520043502</v>
      </c>
      <c r="K84" s="48" t="n">
        <v>245569.7623186285</v>
      </c>
      <c r="L84" s="48" t="n">
        <v>16375739.50389261</v>
      </c>
    </row>
    <row r="85">
      <c r="A85" s="138" t="n">
        <v>46295</v>
      </c>
      <c r="B85" s="19" t="inlineStr">
        <is>
          <t>Sep-26</t>
        </is>
      </c>
      <c r="C85" s="19" t="inlineStr">
        <is>
          <t>Enterprise</t>
        </is>
      </c>
      <c r="D85" s="19" t="inlineStr">
        <is>
          <t>Base Reforecast</t>
        </is>
      </c>
      <c r="E85" s="48" t="n">
        <v>13002839.47718279</v>
      </c>
      <c r="F85" s="48" t="n">
        <v>0</v>
      </c>
      <c r="G85" s="48" t="n">
        <v>119558.1301616262</v>
      </c>
      <c r="H85" s="48" t="n">
        <v>0</v>
      </c>
      <c r="I85" s="48" t="n">
        <v>-35273.49342460707</v>
      </c>
      <c r="J85" s="48" t="n">
        <v>-43495.38108216973</v>
      </c>
      <c r="K85" s="48" t="n">
        <v>40789.25565484941</v>
      </c>
      <c r="L85" s="48" t="n">
        <v>13043628.73283764</v>
      </c>
    </row>
    <row r="86">
      <c r="A86" s="138" t="n">
        <v>46326</v>
      </c>
      <c r="B86" s="19" t="inlineStr">
        <is>
          <t>Oct-26</t>
        </is>
      </c>
      <c r="C86" s="19" t="inlineStr">
        <is>
          <t>Total</t>
        </is>
      </c>
      <c r="D86" s="19" t="inlineStr">
        <is>
          <t>Base Reforecast</t>
        </is>
      </c>
      <c r="E86" s="48" t="n">
        <v>34227398.18838455</v>
      </c>
      <c r="F86" s="48" t="n">
        <v>11305.86657004831</v>
      </c>
      <c r="G86" s="48" t="n">
        <v>514111.2721585745</v>
      </c>
      <c r="H86" s="48" t="n">
        <v>8534.9</v>
      </c>
      <c r="I86" s="48" t="n">
        <v>-140395.9414876271</v>
      </c>
      <c r="J86" s="48" t="n">
        <v>-232938.5155039047</v>
      </c>
      <c r="K86" s="48" t="n">
        <v>160617.581737091</v>
      </c>
      <c r="L86" s="48" t="n">
        <v>34388015.77012163</v>
      </c>
    </row>
    <row r="87">
      <c r="A87" s="138" t="n">
        <v>46326</v>
      </c>
      <c r="B87" s="19" t="inlineStr">
        <is>
          <t>Oct-26</t>
        </is>
      </c>
      <c r="C87" s="19" t="inlineStr">
        <is>
          <t>SMB</t>
        </is>
      </c>
      <c r="D87" s="19" t="inlineStr">
        <is>
          <t>Base Reforecast</t>
        </is>
      </c>
      <c r="E87" s="48" t="n">
        <v>4808029.951654293</v>
      </c>
      <c r="F87" s="48" t="n">
        <v>0</v>
      </c>
      <c r="G87" s="48" t="n">
        <v>50432.01746955836</v>
      </c>
      <c r="H87" s="48" t="n">
        <v>5998.18</v>
      </c>
      <c r="I87" s="48" t="n">
        <v>-13739.80335751562</v>
      </c>
      <c r="J87" s="48" t="n">
        <v>-97970.84829370159</v>
      </c>
      <c r="K87" s="48" t="n">
        <v>-55280.45418165885</v>
      </c>
      <c r="L87" s="48" t="n">
        <v>4752749.497472634</v>
      </c>
    </row>
    <row r="88">
      <c r="A88" s="138" t="n">
        <v>46326</v>
      </c>
      <c r="B88" s="19" t="inlineStr">
        <is>
          <t>Oct-26</t>
        </is>
      </c>
      <c r="C88" s="19" t="inlineStr">
        <is>
          <t>Mid-Market</t>
        </is>
      </c>
      <c r="D88" s="19" t="inlineStr">
        <is>
          <t>Base Reforecast</t>
        </is>
      </c>
      <c r="E88" s="48" t="n">
        <v>16375739.50389262</v>
      </c>
      <c r="F88" s="48" t="n">
        <v>11305.86657004831</v>
      </c>
      <c r="G88" s="48" t="n">
        <v>344121.12452739</v>
      </c>
      <c r="H88" s="48" t="n">
        <v>2536.72</v>
      </c>
      <c r="I88" s="48" t="n">
        <v>-88436.39478703619</v>
      </c>
      <c r="J88" s="48" t="n">
        <v>-87839.29572857123</v>
      </c>
      <c r="K88" s="48" t="n">
        <v>181688.0205818309</v>
      </c>
      <c r="L88" s="48" t="n">
        <v>16557427.52447445</v>
      </c>
    </row>
    <row r="89">
      <c r="A89" s="138" t="n">
        <v>46326</v>
      </c>
      <c r="B89" s="19" t="inlineStr">
        <is>
          <t>Oct-26</t>
        </is>
      </c>
      <c r="C89" s="19" t="inlineStr">
        <is>
          <t>Enterprise</t>
        </is>
      </c>
      <c r="D89" s="19" t="inlineStr">
        <is>
          <t>Base Reforecast</t>
        </is>
      </c>
      <c r="E89" s="48" t="n">
        <v>13043628.73283764</v>
      </c>
      <c r="F89" s="48" t="n">
        <v>0</v>
      </c>
      <c r="G89" s="48" t="n">
        <v>119558.1301616262</v>
      </c>
      <c r="H89" s="48" t="n">
        <v>0</v>
      </c>
      <c r="I89" s="48" t="n">
        <v>-38219.74334307532</v>
      </c>
      <c r="J89" s="48" t="n">
        <v>-47128.37148163185</v>
      </c>
      <c r="K89" s="48" t="n">
        <v>34210.01533691902</v>
      </c>
      <c r="L89" s="48" t="n">
        <v>13077838.74817456</v>
      </c>
    </row>
    <row r="90">
      <c r="A90" s="138" t="n">
        <v>46356</v>
      </c>
      <c r="B90" s="19" t="inlineStr">
        <is>
          <t>Nov-26</t>
        </is>
      </c>
      <c r="C90" s="19" t="inlineStr">
        <is>
          <t>Total</t>
        </is>
      </c>
      <c r="D90" s="19" t="inlineStr">
        <is>
          <t>Base Reforecast</t>
        </is>
      </c>
      <c r="E90" s="48" t="n">
        <v>34388015.77012163</v>
      </c>
      <c r="F90" s="48" t="n">
        <v>350964.2754020019</v>
      </c>
      <c r="G90" s="48" t="n">
        <v>514111.2721585745</v>
      </c>
      <c r="H90" s="48" t="n">
        <v>8534.9</v>
      </c>
      <c r="I90" s="48" t="n">
        <v>-183611.1087706609</v>
      </c>
      <c r="J90" s="48" t="n">
        <v>-301558.8995636074</v>
      </c>
      <c r="K90" s="48" t="n">
        <v>388440.4392263081</v>
      </c>
      <c r="L90" s="48" t="n">
        <v>34776456.20934794</v>
      </c>
    </row>
    <row r="91">
      <c r="A91" s="138" t="n">
        <v>46356</v>
      </c>
      <c r="B91" s="19" t="inlineStr">
        <is>
          <t>Nov-26</t>
        </is>
      </c>
      <c r="C91" s="19" t="inlineStr">
        <is>
          <t>SMB</t>
        </is>
      </c>
      <c r="D91" s="19" t="inlineStr">
        <is>
          <t>Base Reforecast</t>
        </is>
      </c>
      <c r="E91" s="48" t="n">
        <v>4752749.497472634</v>
      </c>
      <c r="F91" s="48" t="n">
        <v>122945.6273056855</v>
      </c>
      <c r="G91" s="48" t="n">
        <v>50432.01746955836</v>
      </c>
      <c r="H91" s="48" t="n">
        <v>5998.18</v>
      </c>
      <c r="I91" s="48" t="n">
        <v>-17766.36319254995</v>
      </c>
      <c r="J91" s="48" t="n">
        <v>-113273.4283361386</v>
      </c>
      <c r="K91" s="48" t="n">
        <v>48336.03324655531</v>
      </c>
      <c r="L91" s="48" t="n">
        <v>4801085.530719189</v>
      </c>
    </row>
    <row r="92">
      <c r="A92" s="138" t="n">
        <v>46356</v>
      </c>
      <c r="B92" s="19" t="inlineStr">
        <is>
          <t>Nov-26</t>
        </is>
      </c>
      <c r="C92" s="19" t="inlineStr">
        <is>
          <t>Mid-Market</t>
        </is>
      </c>
      <c r="D92" s="19" t="inlineStr">
        <is>
          <t>Base Reforecast</t>
        </is>
      </c>
      <c r="E92" s="48" t="n">
        <v>16557427.52447445</v>
      </c>
      <c r="F92" s="48" t="n">
        <v>142464.2615338164</v>
      </c>
      <c r="G92" s="48" t="n">
        <v>344121.12452739</v>
      </c>
      <c r="H92" s="48" t="n">
        <v>2536.72</v>
      </c>
      <c r="I92" s="48" t="n">
        <v>-67611.2341589194</v>
      </c>
      <c r="J92" s="48" t="n">
        <v>-67154.74105610623</v>
      </c>
      <c r="K92" s="48" t="n">
        <v>354356.1308461808</v>
      </c>
      <c r="L92" s="48" t="n">
        <v>16911783.65532063</v>
      </c>
    </row>
    <row r="93">
      <c r="A93" s="138" t="n">
        <v>46356</v>
      </c>
      <c r="B93" s="19" t="inlineStr">
        <is>
          <t>Nov-26</t>
        </is>
      </c>
      <c r="C93" s="19" t="inlineStr">
        <is>
          <t>Enterprise</t>
        </is>
      </c>
      <c r="D93" s="19" t="inlineStr">
        <is>
          <t>Base Reforecast</t>
        </is>
      </c>
      <c r="E93" s="48" t="n">
        <v>13077838.74817456</v>
      </c>
      <c r="F93" s="48" t="n">
        <v>85554.3865625</v>
      </c>
      <c r="G93" s="48" t="n">
        <v>119558.1301616262</v>
      </c>
      <c r="H93" s="48" t="n">
        <v>0</v>
      </c>
      <c r="I93" s="48" t="n">
        <v>-98233.51141919161</v>
      </c>
      <c r="J93" s="48" t="n">
        <v>-121130.7301713626</v>
      </c>
      <c r="K93" s="48" t="n">
        <v>-14251.72486642796</v>
      </c>
      <c r="L93" s="48" t="n">
        <v>13063587.02330813</v>
      </c>
    </row>
    <row r="94">
      <c r="A94" s="138" t="n">
        <v>46387</v>
      </c>
      <c r="B94" s="19" t="inlineStr">
        <is>
          <t>Dec-26</t>
        </is>
      </c>
      <c r="C94" s="19" t="inlineStr">
        <is>
          <t>Total</t>
        </is>
      </c>
      <c r="D94" s="19" t="inlineStr">
        <is>
          <t>Base Reforecast</t>
        </is>
      </c>
      <c r="E94" s="48" t="n">
        <v>34776456.20934794</v>
      </c>
      <c r="F94" s="48" t="n">
        <v>351431.1501149026</v>
      </c>
      <c r="G94" s="48" t="n">
        <v>514111.2721585745</v>
      </c>
      <c r="H94" s="48" t="n">
        <v>8534.9</v>
      </c>
      <c r="I94" s="48" t="n">
        <v>-351650.5468832045</v>
      </c>
      <c r="J94" s="48" t="n">
        <v>-482466.4199405572</v>
      </c>
      <c r="K94" s="48" t="n">
        <v>39960.35544971551</v>
      </c>
      <c r="L94" s="48" t="n">
        <v>34816416.56479766</v>
      </c>
    </row>
    <row r="95">
      <c r="A95" s="138" t="n">
        <v>46387</v>
      </c>
      <c r="B95" s="19" t="inlineStr">
        <is>
          <t>Dec-26</t>
        </is>
      </c>
      <c r="C95" s="19" t="inlineStr">
        <is>
          <t>SMB</t>
        </is>
      </c>
      <c r="D95" s="19" t="inlineStr">
        <is>
          <t>Base Reforecast</t>
        </is>
      </c>
      <c r="E95" s="48" t="n">
        <v>4801085.530719189</v>
      </c>
      <c r="F95" s="48" t="n">
        <v>123412.5020185862</v>
      </c>
      <c r="G95" s="48" t="n">
        <v>50432.01746955836</v>
      </c>
      <c r="H95" s="48" t="n">
        <v>5998.18</v>
      </c>
      <c r="I95" s="48" t="n">
        <v>-21309.62382753022</v>
      </c>
      <c r="J95" s="48" t="n">
        <v>-126739.2730520758</v>
      </c>
      <c r="K95" s="48" t="n">
        <v>31793.80260853852</v>
      </c>
      <c r="L95" s="48" t="n">
        <v>4832879.333327727</v>
      </c>
    </row>
    <row r="96">
      <c r="A96" s="138" t="n">
        <v>46387</v>
      </c>
      <c r="B96" s="19" t="inlineStr">
        <is>
          <t>Dec-26</t>
        </is>
      </c>
      <c r="C96" s="19" t="inlineStr">
        <is>
          <t>Mid-Market</t>
        </is>
      </c>
      <c r="D96" s="19" t="inlineStr">
        <is>
          <t>Base Reforecast</t>
        </is>
      </c>
      <c r="E96" s="48" t="n">
        <v>16911783.65532063</v>
      </c>
      <c r="F96" s="48" t="n">
        <v>142464.2615338164</v>
      </c>
      <c r="G96" s="48" t="n">
        <v>344121.12452739</v>
      </c>
      <c r="H96" s="48" t="n">
        <v>2536.72</v>
      </c>
      <c r="I96" s="48" t="n">
        <v>-215195.6846280508</v>
      </c>
      <c r="J96" s="48" t="n">
        <v>-213742.7404981306</v>
      </c>
      <c r="K96" s="48" t="n">
        <v>60183.68093502498</v>
      </c>
      <c r="L96" s="48" t="n">
        <v>16971967.33625565</v>
      </c>
    </row>
    <row r="97">
      <c r="A97" s="138" t="n">
        <v>46387</v>
      </c>
      <c r="B97" s="19" t="inlineStr">
        <is>
          <t>Dec-26</t>
        </is>
      </c>
      <c r="C97" s="19" t="inlineStr">
        <is>
          <t>Enterprise</t>
        </is>
      </c>
      <c r="D97" s="19" t="inlineStr">
        <is>
          <t>Base Reforecast</t>
        </is>
      </c>
      <c r="E97" s="48" t="n">
        <v>13063587.02330813</v>
      </c>
      <c r="F97" s="48" t="n">
        <v>85554.3865625</v>
      </c>
      <c r="G97" s="48" t="n">
        <v>119558.1301616262</v>
      </c>
      <c r="H97" s="48" t="n">
        <v>0</v>
      </c>
      <c r="I97" s="48" t="n">
        <v>-115145.2384276235</v>
      </c>
      <c r="J97" s="48" t="n">
        <v>-141984.4063903508</v>
      </c>
      <c r="K97" s="48" t="n">
        <v>-52017.12809384808</v>
      </c>
      <c r="L97" s="48" t="n">
        <v>13011569.89521428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20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11" max="11"/>
    <col width="15" customWidth="1" min="12" max="12"/>
    <col width="12" customWidth="1" min="13" max="13"/>
    <col width="12" customWidth="1" min="14" max="14"/>
    <col width="18" customWidth="1" min="15" max="15"/>
    <col width="19" customWidth="1" min="17" max="17"/>
    <col width="12" customWidth="1" min="18" max="18"/>
    <col width="13" customWidth="1" min="19" max="19"/>
    <col width="12" customWidth="1" min="20" max="20"/>
    <col width="19" customWidth="1" min="22" max="22"/>
    <col width="12" customWidth="1" min="23" max="23"/>
    <col width="14" customWidth="1" min="24" max="24"/>
    <col width="14" customWidth="1" min="25" max="25"/>
    <col width="12" customWidth="1" min="26" max="26"/>
  </cols>
  <sheetData>
    <row r="1">
      <c r="A1" s="137" t="inlineStr">
        <is>
          <t>month_end_date</t>
        </is>
      </c>
      <c r="B1" s="136" t="inlineStr">
        <is>
          <t>month_label</t>
        </is>
      </c>
      <c r="C1" s="136" t="inlineStr">
        <is>
          <t>segment</t>
        </is>
      </c>
      <c r="D1" s="136" t="inlineStr">
        <is>
          <t>cohort_customers</t>
        </is>
      </c>
      <c r="E1" s="136" t="inlineStr">
        <is>
          <t>cohort_beginning_arr</t>
        </is>
      </c>
      <c r="F1" s="136" t="inlineStr">
        <is>
          <t>nrr</t>
        </is>
      </c>
      <c r="G1" s="136" t="inlineStr">
        <is>
          <t>grr</t>
        </is>
      </c>
      <c r="H1" s="136" t="inlineStr">
        <is>
          <t>logo_retention</t>
        </is>
      </c>
      <c r="K1" s="136" t="inlineStr">
        <is>
          <t>month_end_date</t>
        </is>
      </c>
      <c r="L1" s="136" t="inlineStr">
        <is>
          <t>month_label</t>
        </is>
      </c>
      <c r="M1" s="136" t="inlineStr">
        <is>
          <t>NRR</t>
        </is>
      </c>
      <c r="N1" s="136" t="inlineStr">
        <is>
          <t>GRR</t>
        </is>
      </c>
      <c r="O1" s="136" t="inlineStr">
        <is>
          <t>Logo retention</t>
        </is>
      </c>
      <c r="Q1" s="136" t="inlineStr">
        <is>
          <t>renewal_quarter</t>
        </is>
      </c>
      <c r="R1" s="136" t="inlineStr">
        <is>
          <t>segment</t>
        </is>
      </c>
      <c r="S1" s="136" t="inlineStr">
        <is>
          <t>contracts</t>
        </is>
      </c>
      <c r="T1" s="136" t="inlineStr">
        <is>
          <t>atr_arr</t>
        </is>
      </c>
      <c r="V1" s="136" t="inlineStr">
        <is>
          <t>renewal_quarter</t>
        </is>
      </c>
      <c r="W1" s="136" t="inlineStr">
        <is>
          <t>SMB</t>
        </is>
      </c>
      <c r="X1" s="136" t="inlineStr">
        <is>
          <t>Mid-Market</t>
        </is>
      </c>
      <c r="Y1" s="136" t="inlineStr">
        <is>
          <t>Enterprise</t>
        </is>
      </c>
      <c r="Z1" s="136" t="inlineStr">
        <is>
          <t>Total</t>
        </is>
      </c>
    </row>
    <row r="2">
      <c r="A2" s="138" t="n">
        <v>45657</v>
      </c>
      <c r="B2" s="19" t="inlineStr">
        <is>
          <t>Dec-24</t>
        </is>
      </c>
      <c r="C2" s="19" t="inlineStr">
        <is>
          <t>Enterprise</t>
        </is>
      </c>
      <c r="D2" s="48" t="n">
        <v>41</v>
      </c>
      <c r="E2" s="48" t="n">
        <v>7243149.6</v>
      </c>
      <c r="F2" s="25" t="n">
        <v>0.9814965412284182</v>
      </c>
      <c r="G2" s="25" t="n">
        <v>0.9339574927459734</v>
      </c>
      <c r="H2" s="25" t="n">
        <v>0.926829268292683</v>
      </c>
      <c r="K2" s="138" t="n">
        <v>45657</v>
      </c>
      <c r="L2" s="19" t="inlineStr">
        <is>
          <t>Dec-24</t>
        </is>
      </c>
      <c r="M2" s="25" t="n">
        <v>0.998416840067466</v>
      </c>
      <c r="N2" s="25" t="n">
        <v>0.8896968473174259</v>
      </c>
      <c r="O2" s="25" t="n">
        <v>0.8035487959442332</v>
      </c>
      <c r="Q2" s="19" t="inlineStr">
        <is>
          <t>2026Q3</t>
        </is>
      </c>
      <c r="R2" s="19" t="inlineStr">
        <is>
          <t>Total</t>
        </is>
      </c>
      <c r="S2" s="48" t="n">
        <v>75</v>
      </c>
      <c r="T2" s="48" t="n">
        <v>3116233.44</v>
      </c>
      <c r="V2" s="19" t="inlineStr">
        <is>
          <t>2026Q3</t>
        </is>
      </c>
      <c r="W2" s="48" t="n">
        <v>230751.48</v>
      </c>
      <c r="X2" s="48" t="n">
        <v>2054292.48</v>
      </c>
      <c r="Y2" s="48" t="n">
        <v>831189.48</v>
      </c>
      <c r="Z2" s="48" t="n">
        <v>3116233.44</v>
      </c>
    </row>
    <row r="3">
      <c r="A3" s="138" t="n">
        <v>45657</v>
      </c>
      <c r="B3" s="19" t="inlineStr">
        <is>
          <t>Dec-24</t>
        </is>
      </c>
      <c r="C3" s="19" t="inlineStr">
        <is>
          <t>Mid-Market</t>
        </is>
      </c>
      <c r="D3" s="48" t="n">
        <v>226</v>
      </c>
      <c r="E3" s="48" t="n">
        <v>7952748.6</v>
      </c>
      <c r="F3" s="25" t="n">
        <v>1.071336061094651</v>
      </c>
      <c r="G3" s="25" t="n">
        <v>0.8973969075295553</v>
      </c>
      <c r="H3" s="25" t="n">
        <v>0.8672566371681416</v>
      </c>
      <c r="K3" s="138" t="n">
        <v>45688</v>
      </c>
      <c r="L3" s="19" t="inlineStr">
        <is>
          <t>Jan-25</t>
        </is>
      </c>
      <c r="M3" s="25" t="n">
        <v>0.981346125464852</v>
      </c>
      <c r="N3" s="25" t="n">
        <v>0.8725044349403244</v>
      </c>
      <c r="O3" s="25" t="n">
        <v>0.7939317319848294</v>
      </c>
      <c r="Q3" s="19" t="inlineStr">
        <is>
          <t>2026Q3</t>
        </is>
      </c>
      <c r="R3" s="19" t="inlineStr">
        <is>
          <t>SMB</t>
        </is>
      </c>
      <c r="S3" s="48" t="n">
        <v>31</v>
      </c>
      <c r="T3" s="48" t="n">
        <v>230751.48</v>
      </c>
      <c r="V3" s="19" t="inlineStr">
        <is>
          <t>2026Q4</t>
        </is>
      </c>
      <c r="W3" s="48" t="n">
        <v>499151.52</v>
      </c>
      <c r="X3" s="48" t="n">
        <v>3942065.52</v>
      </c>
      <c r="Y3" s="48" t="n">
        <v>3463115.76</v>
      </c>
      <c r="Z3" s="48" t="n">
        <v>7904332.8</v>
      </c>
    </row>
    <row r="4">
      <c r="A4" s="138" t="n">
        <v>45657</v>
      </c>
      <c r="B4" s="19" t="inlineStr">
        <is>
          <t>Dec-24</t>
        </is>
      </c>
      <c r="C4" s="19" t="inlineStr">
        <is>
          <t>SMB</t>
        </is>
      </c>
      <c r="D4" s="48" t="n">
        <v>522</v>
      </c>
      <c r="E4" s="48" t="n">
        <v>3375238.8</v>
      </c>
      <c r="F4" s="25" t="n">
        <v>0.8629147306555021</v>
      </c>
      <c r="G4" s="25" t="n">
        <v>0.7765720754335961</v>
      </c>
      <c r="H4" s="25" t="n">
        <v>0.7662835249042146</v>
      </c>
      <c r="K4" s="138" t="n">
        <v>45716</v>
      </c>
      <c r="L4" s="19" t="inlineStr">
        <is>
          <t>Feb-25</t>
        </is>
      </c>
      <c r="M4" s="25" t="n">
        <v>0.991126165449666</v>
      </c>
      <c r="N4" s="25" t="n">
        <v>0.8711369438355495</v>
      </c>
      <c r="O4" s="25" t="n">
        <v>0.7964601769911505</v>
      </c>
      <c r="Q4" s="19" t="inlineStr">
        <is>
          <t>2026Q3</t>
        </is>
      </c>
      <c r="R4" s="19" t="inlineStr">
        <is>
          <t>Mid-Market</t>
        </is>
      </c>
      <c r="S4" s="48" t="n">
        <v>39</v>
      </c>
      <c r="T4" s="48" t="n">
        <v>2054292.48</v>
      </c>
      <c r="V4" s="19" t="inlineStr">
        <is>
          <t>2027Q1</t>
        </is>
      </c>
      <c r="W4" s="48" t="n">
        <v>480256.56</v>
      </c>
      <c r="X4" s="48" t="n">
        <v>4137916.44</v>
      </c>
      <c r="Y4" s="48" t="n">
        <v>3761399.88</v>
      </c>
      <c r="Z4" s="48" t="n">
        <v>8379572.88</v>
      </c>
    </row>
    <row r="5">
      <c r="A5" s="138" t="n">
        <v>45657</v>
      </c>
      <c r="B5" s="19" t="inlineStr">
        <is>
          <t>Dec-24</t>
        </is>
      </c>
      <c r="C5" s="19" t="inlineStr">
        <is>
          <t>Total</t>
        </is>
      </c>
      <c r="D5" s="48" t="n">
        <v>789</v>
      </c>
      <c r="E5" s="48" t="n">
        <v>18571137</v>
      </c>
      <c r="F5" s="25" t="n">
        <v>0.998416840067466</v>
      </c>
      <c r="G5" s="25" t="n">
        <v>0.8896968473174259</v>
      </c>
      <c r="H5" s="25" t="n">
        <v>0.8035487959442332</v>
      </c>
      <c r="K5" s="138" t="n">
        <v>45747</v>
      </c>
      <c r="L5" s="19" t="inlineStr">
        <is>
          <t>Mar-25</t>
        </is>
      </c>
      <c r="M5" s="25" t="n">
        <v>0.9972310528128264</v>
      </c>
      <c r="N5" s="25" t="n">
        <v>0.8807288077476891</v>
      </c>
      <c r="O5" s="25" t="n">
        <v>0.8035264483627204</v>
      </c>
      <c r="Q5" s="19" t="inlineStr">
        <is>
          <t>2026Q3</t>
        </is>
      </c>
      <c r="R5" s="19" t="inlineStr">
        <is>
          <t>Enterprise</t>
        </is>
      </c>
      <c r="S5" s="48" t="n">
        <v>5</v>
      </c>
      <c r="T5" s="48" t="n">
        <v>831189.48</v>
      </c>
      <c r="V5" s="19" t="inlineStr">
        <is>
          <t>2027Q2</t>
        </is>
      </c>
      <c r="W5" s="48" t="n">
        <v>515040.36</v>
      </c>
      <c r="X5" s="48" t="n">
        <v>3068660.76</v>
      </c>
      <c r="Y5" s="48" t="n">
        <v>766476.72</v>
      </c>
      <c r="Z5" s="48" t="n">
        <v>4350177.84</v>
      </c>
    </row>
    <row r="6">
      <c r="A6" s="138" t="n">
        <v>45688</v>
      </c>
      <c r="B6" s="19" t="inlineStr">
        <is>
          <t>Jan-25</t>
        </is>
      </c>
      <c r="C6" s="19" t="inlineStr">
        <is>
          <t>Enterprise</t>
        </is>
      </c>
      <c r="D6" s="48" t="n">
        <v>42</v>
      </c>
      <c r="E6" s="48" t="n">
        <v>7342855.92</v>
      </c>
      <c r="F6" s="25" t="n">
        <v>0.9888981888126168</v>
      </c>
      <c r="G6" s="25" t="n">
        <v>0.9309512530922708</v>
      </c>
      <c r="H6" s="25" t="n">
        <v>0.9285714285714286</v>
      </c>
      <c r="K6" s="138" t="n">
        <v>45777</v>
      </c>
      <c r="L6" s="19" t="inlineStr">
        <is>
          <t>Apr-25</t>
        </is>
      </c>
      <c r="M6" s="25" t="n">
        <v>0.998089232382696</v>
      </c>
      <c r="N6" s="25" t="n">
        <v>0.8859060692045506</v>
      </c>
      <c r="O6" s="25" t="n">
        <v>0.8184143222506394</v>
      </c>
      <c r="Q6" s="19" t="inlineStr">
        <is>
          <t>2026Q4</t>
        </is>
      </c>
      <c r="R6" s="19" t="inlineStr">
        <is>
          <t>Total</t>
        </is>
      </c>
      <c r="S6" s="48" t="n">
        <v>143</v>
      </c>
      <c r="T6" s="48" t="n">
        <v>7904332.8</v>
      </c>
      <c r="V6" s="19" t="inlineStr">
        <is>
          <t>2027Q3</t>
        </is>
      </c>
      <c r="W6" s="48" t="n">
        <v>15480.24</v>
      </c>
      <c r="X6" s="48" t="n">
        <v>450161.52</v>
      </c>
      <c r="Y6" s="48" t="n">
        <v>425074.32</v>
      </c>
      <c r="Z6" s="48" t="n">
        <v>890716.08</v>
      </c>
    </row>
    <row r="7">
      <c r="A7" s="138" t="n">
        <v>45688</v>
      </c>
      <c r="B7" s="19" t="inlineStr">
        <is>
          <t>Jan-25</t>
        </is>
      </c>
      <c r="C7" s="19" t="inlineStr">
        <is>
          <t>Mid-Market</t>
        </is>
      </c>
      <c r="D7" s="48" t="n">
        <v>226</v>
      </c>
      <c r="E7" s="48" t="n">
        <v>8085324.36</v>
      </c>
      <c r="F7" s="25" t="n">
        <v>1.038811578364433</v>
      </c>
      <c r="G7" s="25" t="n">
        <v>0.8704171764359494</v>
      </c>
      <c r="H7" s="25" t="n">
        <v>0.8539823008849557</v>
      </c>
      <c r="K7" s="138" t="n">
        <v>45808</v>
      </c>
      <c r="L7" s="19" t="inlineStr">
        <is>
          <t>May-25</t>
        </is>
      </c>
      <c r="M7" s="25" t="n">
        <v>0.990960340388033</v>
      </c>
      <c r="N7" s="25" t="n">
        <v>0.881138409288159</v>
      </c>
      <c r="O7" s="25" t="n">
        <v>0.8130601792573624</v>
      </c>
      <c r="Q7" s="19" t="inlineStr">
        <is>
          <t>2026Q4</t>
        </is>
      </c>
      <c r="R7" s="19" t="inlineStr">
        <is>
          <t>SMB</t>
        </is>
      </c>
      <c r="S7" s="48" t="n">
        <v>61</v>
      </c>
      <c r="T7" s="48" t="n">
        <v>499151.52</v>
      </c>
      <c r="V7" s="19" t="inlineStr">
        <is>
          <t>2027Q4</t>
        </is>
      </c>
      <c r="W7" s="48" t="n">
        <v>20829.84</v>
      </c>
      <c r="X7" s="48" t="n">
        <v>239958.36</v>
      </c>
      <c r="Y7" s="48" t="n">
        <v>299074.44</v>
      </c>
      <c r="Z7" s="48" t="n">
        <v>559862.64</v>
      </c>
    </row>
    <row r="8">
      <c r="A8" s="138" t="n">
        <v>45688</v>
      </c>
      <c r="B8" s="19" t="inlineStr">
        <is>
          <t>Jan-25</t>
        </is>
      </c>
      <c r="C8" s="19" t="inlineStr">
        <is>
          <t>SMB</t>
        </is>
      </c>
      <c r="D8" s="48" t="n">
        <v>523</v>
      </c>
      <c r="E8" s="48" t="n">
        <v>3479717.88</v>
      </c>
      <c r="F8" s="25" t="n">
        <v>0.8318855780342745</v>
      </c>
      <c r="G8" s="25" t="n">
        <v>0.7540205759439326</v>
      </c>
      <c r="H8" s="25" t="n">
        <v>0.7571701720841301</v>
      </c>
      <c r="K8" s="138" t="n">
        <v>45838</v>
      </c>
      <c r="L8" s="19" t="inlineStr">
        <is>
          <t>Jun-25</t>
        </is>
      </c>
      <c r="M8" s="25" t="n">
        <v>0.9936519344921538</v>
      </c>
      <c r="N8" s="25" t="n">
        <v>0.8857392266576429</v>
      </c>
      <c r="O8" s="25" t="n">
        <v>0.8170266836086404</v>
      </c>
      <c r="Q8" s="19" t="inlineStr">
        <is>
          <t>2026Q4</t>
        </is>
      </c>
      <c r="R8" s="19" t="inlineStr">
        <is>
          <t>Mid-Market</t>
        </is>
      </c>
      <c r="S8" s="48" t="n">
        <v>68</v>
      </c>
      <c r="T8" s="48" t="n">
        <v>3942065.52</v>
      </c>
    </row>
    <row r="9">
      <c r="A9" s="138" t="n">
        <v>45688</v>
      </c>
      <c r="B9" s="19" t="inlineStr">
        <is>
          <t>Jan-25</t>
        </is>
      </c>
      <c r="C9" s="19" t="inlineStr">
        <is>
          <t>Total</t>
        </is>
      </c>
      <c r="D9" s="48" t="n">
        <v>791</v>
      </c>
      <c r="E9" s="48" t="n">
        <v>18907898.16</v>
      </c>
      <c r="F9" s="25" t="n">
        <v>0.981346125464852</v>
      </c>
      <c r="G9" s="25" t="n">
        <v>0.8725044349403244</v>
      </c>
      <c r="H9" s="25" t="n">
        <v>0.7939317319848294</v>
      </c>
      <c r="K9" s="138" t="n">
        <v>45869</v>
      </c>
      <c r="L9" s="19" t="inlineStr">
        <is>
          <t>Jul-25</t>
        </is>
      </c>
      <c r="M9" s="25" t="n">
        <v>0.996721884639125</v>
      </c>
      <c r="N9" s="25" t="n">
        <v>0.8890125684455294</v>
      </c>
      <c r="O9" s="25" t="n">
        <v>0.8229299363057325</v>
      </c>
      <c r="Q9" s="19" t="inlineStr">
        <is>
          <t>2026Q4</t>
        </is>
      </c>
      <c r="R9" s="19" t="inlineStr">
        <is>
          <t>Enterprise</t>
        </is>
      </c>
      <c r="S9" s="48" t="n">
        <v>14</v>
      </c>
      <c r="T9" s="48" t="n">
        <v>3463115.76</v>
      </c>
    </row>
    <row r="10">
      <c r="A10" s="138" t="n">
        <v>45716</v>
      </c>
      <c r="B10" s="19" t="inlineStr">
        <is>
          <t>Feb-25</t>
        </is>
      </c>
      <c r="C10" s="19" t="inlineStr">
        <is>
          <t>Enterprise</t>
        </is>
      </c>
      <c r="D10" s="48" t="n">
        <v>43</v>
      </c>
      <c r="E10" s="48" t="n">
        <v>7484338.92</v>
      </c>
      <c r="F10" s="25" t="n">
        <v>0.9978879737851316</v>
      </c>
      <c r="G10" s="25" t="n">
        <v>0.9322556760965069</v>
      </c>
      <c r="H10" s="25" t="n">
        <v>0.9302325581395348</v>
      </c>
      <c r="K10" s="138" t="n">
        <v>45900</v>
      </c>
      <c r="L10" s="19" t="inlineStr">
        <is>
          <t>Aug-25</t>
        </is>
      </c>
      <c r="M10" s="25" t="n">
        <v>1.006461373024454</v>
      </c>
      <c r="N10" s="25" t="n">
        <v>0.8988154565128694</v>
      </c>
      <c r="O10" s="25" t="n">
        <v>0.824203821656051</v>
      </c>
      <c r="Q10" s="19" t="inlineStr">
        <is>
          <t>2027Q1</t>
        </is>
      </c>
      <c r="R10" s="19" t="inlineStr">
        <is>
          <t>Total</t>
        </is>
      </c>
      <c r="S10" s="48" t="n">
        <v>137</v>
      </c>
      <c r="T10" s="48" t="n">
        <v>8379572.88</v>
      </c>
    </row>
    <row r="11">
      <c r="A11" s="138" t="n">
        <v>45716</v>
      </c>
      <c r="B11" s="19" t="inlineStr">
        <is>
          <t>Feb-25</t>
        </is>
      </c>
      <c r="C11" s="19" t="inlineStr">
        <is>
          <t>Mid-Market</t>
        </is>
      </c>
      <c r="D11" s="48" t="n">
        <v>228</v>
      </c>
      <c r="E11" s="48" t="n">
        <v>8305143.24</v>
      </c>
      <c r="F11" s="25" t="n">
        <v>1.050726571213238</v>
      </c>
      <c r="G11" s="25" t="n">
        <v>0.8602490954749625</v>
      </c>
      <c r="H11" s="25" t="n">
        <v>0.8464912280701754</v>
      </c>
      <c r="K11" s="138" t="n">
        <v>45930</v>
      </c>
      <c r="L11" s="19" t="inlineStr">
        <is>
          <t>Sep-25</t>
        </is>
      </c>
      <c r="M11" s="25" t="n">
        <v>1.003269008683046</v>
      </c>
      <c r="N11" s="25" t="n">
        <v>0.8963409004516194</v>
      </c>
      <c r="O11" s="25" t="n">
        <v>0.8165829145728644</v>
      </c>
      <c r="Q11" s="19" t="inlineStr">
        <is>
          <t>2027Q1</t>
        </is>
      </c>
      <c r="R11" s="19" t="inlineStr">
        <is>
          <t>SMB</t>
        </is>
      </c>
      <c r="S11" s="48" t="n">
        <v>54</v>
      </c>
      <c r="T11" s="48" t="n">
        <v>480256.56</v>
      </c>
    </row>
    <row r="12">
      <c r="A12" s="138" t="n">
        <v>45716</v>
      </c>
      <c r="B12" s="19" t="inlineStr">
        <is>
          <t>Feb-25</t>
        </is>
      </c>
      <c r="C12" s="19" t="inlineStr">
        <is>
          <t>SMB</t>
        </is>
      </c>
      <c r="D12" s="48" t="n">
        <v>520</v>
      </c>
      <c r="E12" s="48" t="n">
        <v>3506022.96</v>
      </c>
      <c r="F12" s="25" t="n">
        <v>0.8355089380247527</v>
      </c>
      <c r="G12" s="25" t="n">
        <v>0.7664576047157432</v>
      </c>
      <c r="H12" s="25" t="n">
        <v>0.7634615384615384</v>
      </c>
      <c r="K12" s="138" t="n">
        <v>45961</v>
      </c>
      <c r="L12" s="19" t="inlineStr">
        <is>
          <t>Oct-25</t>
        </is>
      </c>
      <c r="M12" s="25" t="n">
        <v>1.013618952121318</v>
      </c>
      <c r="N12" s="25" t="n">
        <v>0.9013824825594478</v>
      </c>
      <c r="O12" s="25" t="n">
        <v>0.8156911581569116</v>
      </c>
      <c r="Q12" s="19" t="inlineStr">
        <is>
          <t>2027Q1</t>
        </is>
      </c>
      <c r="R12" s="19" t="inlineStr">
        <is>
          <t>Mid-Market</t>
        </is>
      </c>
      <c r="S12" s="48" t="n">
        <v>70</v>
      </c>
      <c r="T12" s="48" t="n">
        <v>4137916.44</v>
      </c>
    </row>
    <row r="13">
      <c r="A13" s="138" t="n">
        <v>45716</v>
      </c>
      <c r="B13" s="19" t="inlineStr">
        <is>
          <t>Feb-25</t>
        </is>
      </c>
      <c r="C13" s="19" t="inlineStr">
        <is>
          <t>Total</t>
        </is>
      </c>
      <c r="D13" s="48" t="n">
        <v>791</v>
      </c>
      <c r="E13" s="48" t="n">
        <v>19295505.12</v>
      </c>
      <c r="F13" s="25" t="n">
        <v>0.991126165449666</v>
      </c>
      <c r="G13" s="25" t="n">
        <v>0.8711369438355495</v>
      </c>
      <c r="H13" s="25" t="n">
        <v>0.7964601769911505</v>
      </c>
      <c r="K13" s="138" t="n">
        <v>45991</v>
      </c>
      <c r="L13" s="19" t="inlineStr">
        <is>
          <t>Nov-25</t>
        </is>
      </c>
      <c r="M13" s="25" t="n">
        <v>0.9975006110935982</v>
      </c>
      <c r="N13" s="25" t="n">
        <v>0.889737275448042</v>
      </c>
      <c r="O13" s="25" t="n">
        <v>0.8214731585518102</v>
      </c>
      <c r="Q13" s="19" t="inlineStr">
        <is>
          <t>2027Q1</t>
        </is>
      </c>
      <c r="R13" s="19" t="inlineStr">
        <is>
          <t>Enterprise</t>
        </is>
      </c>
      <c r="S13" s="48" t="n">
        <v>13</v>
      </c>
      <c r="T13" s="48" t="n">
        <v>3761399.88</v>
      </c>
    </row>
    <row r="14">
      <c r="A14" s="138" t="n">
        <v>45747</v>
      </c>
      <c r="B14" s="19" t="inlineStr">
        <is>
          <t>Mar-25</t>
        </is>
      </c>
      <c r="C14" s="19" t="inlineStr">
        <is>
          <t>Enterprise</t>
        </is>
      </c>
      <c r="D14" s="48" t="n">
        <v>43</v>
      </c>
      <c r="E14" s="48" t="n">
        <v>8094754.56</v>
      </c>
      <c r="F14" s="25" t="n">
        <v>0.9965686964571784</v>
      </c>
      <c r="G14" s="25" t="n">
        <v>0.9461698811532588</v>
      </c>
      <c r="H14" s="25" t="n">
        <v>0.9534883720930232</v>
      </c>
      <c r="K14" s="138" t="n">
        <v>46022</v>
      </c>
      <c r="L14" s="19" t="inlineStr">
        <is>
          <t>Dec-25</t>
        </is>
      </c>
      <c r="M14" s="25" t="n">
        <v>1.002510828510408</v>
      </c>
      <c r="N14" s="25" t="n">
        <v>0.8998036390594674</v>
      </c>
      <c r="O14" s="25" t="n">
        <v>0.8209500609013398</v>
      </c>
      <c r="Q14" s="19" t="inlineStr">
        <is>
          <t>2027Q2</t>
        </is>
      </c>
      <c r="R14" s="19" t="inlineStr">
        <is>
          <t>Total</t>
        </is>
      </c>
      <c r="S14" s="48" t="n">
        <v>116</v>
      </c>
      <c r="T14" s="48" t="n">
        <v>4350177.84</v>
      </c>
    </row>
    <row r="15">
      <c r="A15" s="138" t="n">
        <v>45747</v>
      </c>
      <c r="B15" s="19" t="inlineStr">
        <is>
          <t>Mar-25</t>
        </is>
      </c>
      <c r="C15" s="19" t="inlineStr">
        <is>
          <t>Mid-Market</t>
        </is>
      </c>
      <c r="D15" s="48" t="n">
        <v>229</v>
      </c>
      <c r="E15" s="48" t="n">
        <v>8376575.64</v>
      </c>
      <c r="F15" s="25" t="n">
        <v>1.06982876835814</v>
      </c>
      <c r="G15" s="25" t="n">
        <v>0.8676963704944233</v>
      </c>
      <c r="H15" s="25" t="n">
        <v>0.8602620087336245</v>
      </c>
      <c r="K15" s="138" t="n">
        <v>46053</v>
      </c>
      <c r="L15" s="19" t="inlineStr">
        <is>
          <t>Jan-26</t>
        </is>
      </c>
      <c r="M15" s="25" t="n">
        <v>1.011116164999161</v>
      </c>
      <c r="N15" s="25" t="n">
        <v>0.9094451207216272</v>
      </c>
      <c r="O15" s="25" t="n">
        <v>0.8212974296205631</v>
      </c>
      <c r="Q15" s="19" t="inlineStr">
        <is>
          <t>2027Q2</t>
        </is>
      </c>
      <c r="R15" s="19" t="inlineStr">
        <is>
          <t>SMB</t>
        </is>
      </c>
      <c r="S15" s="48" t="n">
        <v>60</v>
      </c>
      <c r="T15" s="48" t="n">
        <v>515040.36</v>
      </c>
    </row>
    <row r="16">
      <c r="A16" s="138" t="n">
        <v>45747</v>
      </c>
      <c r="B16" s="19" t="inlineStr">
        <is>
          <t>Mar-25</t>
        </is>
      </c>
      <c r="C16" s="19" t="inlineStr">
        <is>
          <t>SMB</t>
        </is>
      </c>
      <c r="D16" s="48" t="n">
        <v>522</v>
      </c>
      <c r="E16" s="48" t="n">
        <v>3577762.92</v>
      </c>
      <c r="F16" s="25" t="n">
        <v>0.8287574404175445</v>
      </c>
      <c r="G16" s="25" t="n">
        <v>0.7631798699506898</v>
      </c>
      <c r="H16" s="25" t="n">
        <v>0.7662835249042146</v>
      </c>
      <c r="K16" s="138" t="n">
        <v>46081</v>
      </c>
      <c r="L16" s="19" t="inlineStr">
        <is>
          <t>Feb-26</t>
        </is>
      </c>
      <c r="M16" s="25" t="n">
        <v>1.005346881992783</v>
      </c>
      <c r="N16" s="25" t="n">
        <v>0.9135184975172476</v>
      </c>
      <c r="O16" s="25" t="n">
        <v>0.8266178266178266</v>
      </c>
      <c r="Q16" s="19" t="inlineStr">
        <is>
          <t>2027Q2</t>
        </is>
      </c>
      <c r="R16" s="19" t="inlineStr">
        <is>
          <t>Mid-Market</t>
        </is>
      </c>
      <c r="S16" s="48" t="n">
        <v>52</v>
      </c>
      <c r="T16" s="48" t="n">
        <v>3068660.76</v>
      </c>
    </row>
    <row r="17">
      <c r="A17" s="138" t="n">
        <v>45747</v>
      </c>
      <c r="B17" s="19" t="inlineStr">
        <is>
          <t>Mar-25</t>
        </is>
      </c>
      <c r="C17" s="19" t="inlineStr">
        <is>
          <t>Total</t>
        </is>
      </c>
      <c r="D17" s="48" t="n">
        <v>794</v>
      </c>
      <c r="E17" s="48" t="n">
        <v>20049093.12</v>
      </c>
      <c r="F17" s="25" t="n">
        <v>0.9972310528128264</v>
      </c>
      <c r="G17" s="25" t="n">
        <v>0.8807288077476891</v>
      </c>
      <c r="H17" s="25" t="n">
        <v>0.8035264483627204</v>
      </c>
      <c r="K17" s="138" t="n">
        <v>46112</v>
      </c>
      <c r="L17" s="19" t="inlineStr">
        <is>
          <t>Mar-26</t>
        </is>
      </c>
      <c r="M17" s="25" t="n">
        <v>0.9956596525096488</v>
      </c>
      <c r="N17" s="25" t="n">
        <v>0.9109621915478274</v>
      </c>
      <c r="O17" s="25" t="n">
        <v>0.8229665071770335</v>
      </c>
      <c r="Q17" s="19" t="inlineStr">
        <is>
          <t>2027Q2</t>
        </is>
      </c>
      <c r="R17" s="19" t="inlineStr">
        <is>
          <t>Enterprise</t>
        </is>
      </c>
      <c r="S17" s="48" t="n">
        <v>4</v>
      </c>
      <c r="T17" s="48" t="n">
        <v>766476.72</v>
      </c>
    </row>
    <row r="18">
      <c r="A18" s="138" t="n">
        <v>45777</v>
      </c>
      <c r="B18" s="19" t="inlineStr">
        <is>
          <t>Apr-25</t>
        </is>
      </c>
      <c r="C18" s="19" t="inlineStr">
        <is>
          <t>Enterprise</t>
        </is>
      </c>
      <c r="D18" s="48" t="n">
        <v>44</v>
      </c>
      <c r="E18" s="48" t="n">
        <v>8474733</v>
      </c>
      <c r="F18" s="25" t="n">
        <v>0.9869050316983438</v>
      </c>
      <c r="G18" s="25" t="n">
        <v>0.9363055048459934</v>
      </c>
      <c r="H18" s="25" t="n">
        <v>0.9545454545454546</v>
      </c>
      <c r="K18" s="138" t="n">
        <v>46142</v>
      </c>
      <c r="L18" s="19" t="inlineStr">
        <is>
          <t>Apr-26</t>
        </is>
      </c>
      <c r="M18" s="25" t="n">
        <v>0.987753245350572</v>
      </c>
      <c r="N18" s="25" t="n">
        <v>0.9030231474029414</v>
      </c>
      <c r="O18" s="25" t="n">
        <v>0.8201438848920863</v>
      </c>
      <c r="Q18" s="19" t="inlineStr">
        <is>
          <t>2027Q3</t>
        </is>
      </c>
      <c r="R18" s="19" t="inlineStr">
        <is>
          <t>Total</t>
        </is>
      </c>
      <c r="S18" s="48" t="n">
        <v>11</v>
      </c>
      <c r="T18" s="48" t="n">
        <v>890716.08</v>
      </c>
    </row>
    <row r="19">
      <c r="A19" s="138" t="n">
        <v>45777</v>
      </c>
      <c r="B19" s="19" t="inlineStr">
        <is>
          <t>Apr-25</t>
        </is>
      </c>
      <c r="C19" s="19" t="inlineStr">
        <is>
          <t>Mid-Market</t>
        </is>
      </c>
      <c r="D19" s="48" t="n">
        <v>228</v>
      </c>
      <c r="E19" s="48" t="n">
        <v>8578316.4</v>
      </c>
      <c r="F19" s="25" t="n">
        <v>1.068598145901916</v>
      </c>
      <c r="G19" s="25" t="n">
        <v>0.8791850344899845</v>
      </c>
      <c r="H19" s="25" t="n">
        <v>0.8728070175438597</v>
      </c>
      <c r="K19" s="138" t="n">
        <v>46173</v>
      </c>
      <c r="L19" s="19" t="inlineStr">
        <is>
          <t>May-26</t>
        </is>
      </c>
      <c r="M19" s="25" t="n">
        <v>1.022051628494163</v>
      </c>
      <c r="N19" s="25" t="n">
        <v>0.9114108471509108</v>
      </c>
      <c r="O19" s="25" t="n">
        <v>0.8335343787696019</v>
      </c>
      <c r="Q19" s="19" t="inlineStr">
        <is>
          <t>2027Q3</t>
        </is>
      </c>
      <c r="R19" s="19" t="inlineStr">
        <is>
          <t>SMB</t>
        </is>
      </c>
      <c r="S19" s="48" t="n">
        <v>2</v>
      </c>
      <c r="T19" s="48" t="n">
        <v>15480.24</v>
      </c>
    </row>
    <row r="20">
      <c r="A20" s="138" t="n">
        <v>45777</v>
      </c>
      <c r="B20" s="19" t="inlineStr">
        <is>
          <t>Apr-25</t>
        </is>
      </c>
      <c r="C20" s="19" t="inlineStr">
        <is>
          <t>SMB</t>
        </is>
      </c>
      <c r="D20" s="48" t="n">
        <v>510</v>
      </c>
      <c r="E20" s="48" t="n">
        <v>3487470.36</v>
      </c>
      <c r="F20" s="25" t="n">
        <v>0.8518328912765297</v>
      </c>
      <c r="G20" s="25" t="n">
        <v>0.7799649256373895</v>
      </c>
      <c r="H20" s="25" t="n">
        <v>0.7823529411764706</v>
      </c>
      <c r="K20" s="138" t="n">
        <v>46203</v>
      </c>
      <c r="L20" s="19" t="inlineStr">
        <is>
          <t>Jun-26</t>
        </is>
      </c>
      <c r="M20" s="25" t="n">
        <v>1.017911280975615</v>
      </c>
      <c r="N20" s="25" t="n">
        <v>0.8955767661111939</v>
      </c>
      <c r="O20" s="25" t="n">
        <v>0.834128878281623</v>
      </c>
      <c r="Q20" s="19" t="inlineStr">
        <is>
          <t>2027Q3</t>
        </is>
      </c>
      <c r="R20" s="19" t="inlineStr">
        <is>
          <t>Mid-Market</t>
        </is>
      </c>
      <c r="S20" s="48" t="n">
        <v>7</v>
      </c>
      <c r="T20" s="48" t="n">
        <v>450161.52</v>
      </c>
    </row>
    <row r="21">
      <c r="A21" s="138" t="n">
        <v>45777</v>
      </c>
      <c r="B21" s="19" t="inlineStr">
        <is>
          <t>Apr-25</t>
        </is>
      </c>
      <c r="C21" s="19" t="inlineStr">
        <is>
          <t>Total</t>
        </is>
      </c>
      <c r="D21" s="48" t="n">
        <v>782</v>
      </c>
      <c r="E21" s="48" t="n">
        <v>20540519.76</v>
      </c>
      <c r="F21" s="25" t="n">
        <v>0.998089232382696</v>
      </c>
      <c r="G21" s="25" t="n">
        <v>0.8859060692045506</v>
      </c>
      <c r="H21" s="25" t="n">
        <v>0.8184143222506394</v>
      </c>
      <c r="Q21" s="19" t="inlineStr">
        <is>
          <t>2027Q3</t>
        </is>
      </c>
      <c r="R21" s="19" t="inlineStr">
        <is>
          <t>Enterprise</t>
        </is>
      </c>
      <c r="S21" s="48" t="n">
        <v>2</v>
      </c>
      <c r="T21" s="48" t="n">
        <v>425074.32</v>
      </c>
    </row>
    <row r="22">
      <c r="A22" s="138" t="n">
        <v>45808</v>
      </c>
      <c r="B22" s="19" t="inlineStr">
        <is>
          <t>May-25</t>
        </is>
      </c>
      <c r="C22" s="19" t="inlineStr">
        <is>
          <t>Enterprise</t>
        </is>
      </c>
      <c r="D22" s="48" t="n">
        <v>45</v>
      </c>
      <c r="E22" s="48" t="n">
        <v>8723614.199999999</v>
      </c>
      <c r="F22" s="25" t="n">
        <v>0.9821144910328566</v>
      </c>
      <c r="G22" s="25" t="n">
        <v>0.9303140709730148</v>
      </c>
      <c r="H22" s="25" t="n">
        <v>0.9555555555555556</v>
      </c>
      <c r="Q22" s="19" t="inlineStr">
        <is>
          <t>2027Q4</t>
        </is>
      </c>
      <c r="R22" s="19" t="inlineStr">
        <is>
          <t>Total</t>
        </is>
      </c>
      <c r="S22" s="48" t="n">
        <v>8</v>
      </c>
      <c r="T22" s="48" t="n">
        <v>559862.64</v>
      </c>
    </row>
    <row r="23">
      <c r="A23" s="138" t="n">
        <v>45808</v>
      </c>
      <c r="B23" s="19" t="inlineStr">
        <is>
          <t>May-25</t>
        </is>
      </c>
      <c r="C23" s="19" t="inlineStr">
        <is>
          <t>Mid-Market</t>
        </is>
      </c>
      <c r="D23" s="48" t="n">
        <v>228</v>
      </c>
      <c r="E23" s="48" t="n">
        <v>8712286.92</v>
      </c>
      <c r="F23" s="25" t="n">
        <v>1.061714868316114</v>
      </c>
      <c r="G23" s="25" t="n">
        <v>0.878118903825082</v>
      </c>
      <c r="H23" s="25" t="n">
        <v>0.868421052631579</v>
      </c>
      <c r="Q23" s="19" t="inlineStr">
        <is>
          <t>2027Q4</t>
        </is>
      </c>
      <c r="R23" s="19" t="inlineStr">
        <is>
          <t>SMB</t>
        </is>
      </c>
      <c r="S23" s="48" t="n">
        <v>1</v>
      </c>
      <c r="T23" s="48" t="n">
        <v>20829.84</v>
      </c>
    </row>
    <row r="24">
      <c r="A24" s="138" t="n">
        <v>45808</v>
      </c>
      <c r="B24" s="19" t="inlineStr">
        <is>
          <t>May-25</t>
        </is>
      </c>
      <c r="C24" s="19" t="inlineStr">
        <is>
          <t>SMB</t>
        </is>
      </c>
      <c r="D24" s="48" t="n">
        <v>508</v>
      </c>
      <c r="E24" s="48" t="n">
        <v>3528370.56</v>
      </c>
      <c r="F24" s="25" t="n">
        <v>0.8381232270569675</v>
      </c>
      <c r="G24" s="25" t="n">
        <v>0.7670113084720898</v>
      </c>
      <c r="H24" s="25" t="n">
        <v>0.7755905511811023</v>
      </c>
      <c r="Q24" s="19" t="inlineStr">
        <is>
          <t>2027Q4</t>
        </is>
      </c>
      <c r="R24" s="19" t="inlineStr">
        <is>
          <t>Mid-Market</t>
        </is>
      </c>
      <c r="S24" s="48" t="n">
        <v>5</v>
      </c>
      <c r="T24" s="48" t="n">
        <v>239958.36</v>
      </c>
    </row>
    <row r="25">
      <c r="A25" s="138" t="n">
        <v>45808</v>
      </c>
      <c r="B25" s="19" t="inlineStr">
        <is>
          <t>May-25</t>
        </is>
      </c>
      <c r="C25" s="19" t="inlineStr">
        <is>
          <t>Total</t>
        </is>
      </c>
      <c r="D25" s="48" t="n">
        <v>781</v>
      </c>
      <c r="E25" s="48" t="n">
        <v>20964271.68</v>
      </c>
      <c r="F25" s="25" t="n">
        <v>0.990960340388033</v>
      </c>
      <c r="G25" s="25" t="n">
        <v>0.881138409288159</v>
      </c>
      <c r="H25" s="25" t="n">
        <v>0.8130601792573624</v>
      </c>
      <c r="Q25" s="19" t="inlineStr">
        <is>
          <t>2027Q4</t>
        </is>
      </c>
      <c r="R25" s="19" t="inlineStr">
        <is>
          <t>Enterprise</t>
        </is>
      </c>
      <c r="S25" s="48" t="n">
        <v>2</v>
      </c>
      <c r="T25" s="48" t="n">
        <v>299074.44</v>
      </c>
    </row>
    <row r="26">
      <c r="A26" s="138" t="n">
        <v>45838</v>
      </c>
      <c r="B26" s="19" t="inlineStr">
        <is>
          <t>Jun-25</t>
        </is>
      </c>
      <c r="C26" s="19" t="inlineStr">
        <is>
          <t>Enterprise</t>
        </is>
      </c>
      <c r="D26" s="48" t="n">
        <v>46</v>
      </c>
      <c r="E26" s="48" t="n">
        <v>9125888.4</v>
      </c>
      <c r="F26" s="25" t="n">
        <v>0.9676432335069975</v>
      </c>
      <c r="G26" s="25" t="n">
        <v>0.9323666022477328</v>
      </c>
      <c r="H26" s="25" t="n">
        <v>0.9565217391304348</v>
      </c>
    </row>
    <row r="27">
      <c r="A27" s="138" t="n">
        <v>45838</v>
      </c>
      <c r="B27" s="19" t="inlineStr">
        <is>
          <t>Jun-25</t>
        </is>
      </c>
      <c r="C27" s="19" t="inlineStr">
        <is>
          <t>Mid-Market</t>
        </is>
      </c>
      <c r="D27" s="48" t="n">
        <v>231</v>
      </c>
      <c r="E27" s="48" t="n">
        <v>8815432.32</v>
      </c>
      <c r="F27" s="25" t="n">
        <v>1.082572190855411</v>
      </c>
      <c r="G27" s="25" t="n">
        <v>0.8854538900254412</v>
      </c>
      <c r="H27" s="25" t="n">
        <v>0.8744588744588745</v>
      </c>
    </row>
    <row r="28">
      <c r="A28" s="138" t="n">
        <v>45838</v>
      </c>
      <c r="B28" s="19" t="inlineStr">
        <is>
          <t>Jun-25</t>
        </is>
      </c>
      <c r="C28" s="19" t="inlineStr">
        <is>
          <t>SMB</t>
        </is>
      </c>
      <c r="D28" s="48" t="n">
        <v>510</v>
      </c>
      <c r="E28" s="48" t="n">
        <v>3603012.72</v>
      </c>
      <c r="F28" s="25" t="n">
        <v>0.8419683181135147</v>
      </c>
      <c r="G28" s="25" t="n">
        <v>0.768337237510502</v>
      </c>
      <c r="H28" s="25" t="n">
        <v>0.7784313725490196</v>
      </c>
    </row>
    <row r="29">
      <c r="A29" s="138" t="n">
        <v>45838</v>
      </c>
      <c r="B29" s="19" t="inlineStr">
        <is>
          <t>Jun-25</t>
        </is>
      </c>
      <c r="C29" s="19" t="inlineStr">
        <is>
          <t>Total</t>
        </is>
      </c>
      <c r="D29" s="48" t="n">
        <v>787</v>
      </c>
      <c r="E29" s="48" t="n">
        <v>21544333.44</v>
      </c>
      <c r="F29" s="25" t="n">
        <v>0.9936519344921538</v>
      </c>
      <c r="G29" s="25" t="n">
        <v>0.8857392266576429</v>
      </c>
      <c r="H29" s="25" t="n">
        <v>0.8170266836086404</v>
      </c>
    </row>
    <row r="30">
      <c r="A30" s="138" t="n">
        <v>45869</v>
      </c>
      <c r="B30" s="19" t="inlineStr">
        <is>
          <t>Jul-25</t>
        </is>
      </c>
      <c r="C30" s="19" t="inlineStr">
        <is>
          <t>Enterprise</t>
        </is>
      </c>
      <c r="D30" s="48" t="n">
        <v>46</v>
      </c>
      <c r="E30" s="48" t="n">
        <v>9146261.640000001</v>
      </c>
      <c r="F30" s="25" t="n">
        <v>0.9675989325842204</v>
      </c>
      <c r="G30" s="25" t="n">
        <v>0.9325174651356244</v>
      </c>
      <c r="H30" s="25" t="n">
        <v>0.9565217391304348</v>
      </c>
    </row>
    <row r="31">
      <c r="A31" s="138" t="n">
        <v>45869</v>
      </c>
      <c r="B31" s="19" t="inlineStr">
        <is>
          <t>Jul-25</t>
        </is>
      </c>
      <c r="C31" s="19" t="inlineStr">
        <is>
          <t>Mid-Market</t>
        </is>
      </c>
      <c r="D31" s="48" t="n">
        <v>233</v>
      </c>
      <c r="E31" s="48" t="n">
        <v>9240150.359999999</v>
      </c>
      <c r="F31" s="25" t="n">
        <v>1.086140338521504</v>
      </c>
      <c r="G31" s="25" t="n">
        <v>0.8926773568217131</v>
      </c>
      <c r="H31" s="25" t="n">
        <v>0.8798283261802575</v>
      </c>
    </row>
    <row r="32">
      <c r="A32" s="138" t="n">
        <v>45869</v>
      </c>
      <c r="B32" s="19" t="inlineStr">
        <is>
          <t>Jul-25</t>
        </is>
      </c>
      <c r="C32" s="19" t="inlineStr">
        <is>
          <t>SMB</t>
        </is>
      </c>
      <c r="D32" s="48" t="n">
        <v>506</v>
      </c>
      <c r="E32" s="48" t="n">
        <v>3619488.36</v>
      </c>
      <c r="F32" s="25" t="n">
        <v>0.8420387460508368</v>
      </c>
      <c r="G32" s="25" t="n">
        <v>0.7697221272456309</v>
      </c>
      <c r="H32" s="25" t="n">
        <v>0.7845849802371542</v>
      </c>
    </row>
    <row r="33">
      <c r="A33" s="138" t="n">
        <v>45869</v>
      </c>
      <c r="B33" s="19" t="inlineStr">
        <is>
          <t>Jul-25</t>
        </is>
      </c>
      <c r="C33" s="19" t="inlineStr">
        <is>
          <t>Total</t>
        </is>
      </c>
      <c r="D33" s="48" t="n">
        <v>785</v>
      </c>
      <c r="E33" s="48" t="n">
        <v>22005900.36</v>
      </c>
      <c r="F33" s="25" t="n">
        <v>0.996721884639125</v>
      </c>
      <c r="G33" s="25" t="n">
        <v>0.8890125684455294</v>
      </c>
      <c r="H33" s="25" t="n">
        <v>0.8229299363057325</v>
      </c>
    </row>
    <row r="34">
      <c r="A34" s="138" t="n">
        <v>45900</v>
      </c>
      <c r="B34" s="19" t="inlineStr">
        <is>
          <t>Aug-25</t>
        </is>
      </c>
      <c r="C34" s="19" t="inlineStr">
        <is>
          <t>Enterprise</t>
        </is>
      </c>
      <c r="D34" s="48" t="n">
        <v>45</v>
      </c>
      <c r="E34" s="48" t="n">
        <v>8882611.32</v>
      </c>
      <c r="F34" s="25" t="n">
        <v>1.003174674539289</v>
      </c>
      <c r="G34" s="25" t="n">
        <v>0.9648563886503591</v>
      </c>
      <c r="H34" s="25" t="n">
        <v>0.9777777777777776</v>
      </c>
    </row>
    <row r="35">
      <c r="A35" s="138" t="n">
        <v>45900</v>
      </c>
      <c r="B35" s="19" t="inlineStr">
        <is>
          <t>Aug-25</t>
        </is>
      </c>
      <c r="C35" s="19" t="inlineStr">
        <is>
          <t>Mid-Market</t>
        </is>
      </c>
      <c r="D35" s="48" t="n">
        <v>235</v>
      </c>
      <c r="E35" s="48" t="n">
        <v>9471129.6</v>
      </c>
      <c r="F35" s="25" t="n">
        <v>1.072252720520264</v>
      </c>
      <c r="G35" s="25" t="n">
        <v>0.8860977892225231</v>
      </c>
      <c r="H35" s="25" t="n">
        <v>0.8765957446808511</v>
      </c>
    </row>
    <row r="36">
      <c r="A36" s="138" t="n">
        <v>45900</v>
      </c>
      <c r="B36" s="19" t="inlineStr">
        <is>
          <t>Aug-25</t>
        </is>
      </c>
      <c r="C36" s="19" t="inlineStr">
        <is>
          <t>SMB</t>
        </is>
      </c>
      <c r="D36" s="48" t="n">
        <v>505</v>
      </c>
      <c r="E36" s="48" t="n">
        <v>3634669.2</v>
      </c>
      <c r="F36" s="25" t="n">
        <v>0.8430561548764878</v>
      </c>
      <c r="G36" s="25" t="n">
        <v>0.7705602479587413</v>
      </c>
      <c r="H36" s="25" t="n">
        <v>0.7861386138613862</v>
      </c>
    </row>
    <row r="37">
      <c r="A37" s="138" t="n">
        <v>45900</v>
      </c>
      <c r="B37" s="19" t="inlineStr">
        <is>
          <t>Aug-25</t>
        </is>
      </c>
      <c r="C37" s="19" t="inlineStr">
        <is>
          <t>Total</t>
        </is>
      </c>
      <c r="D37" s="48" t="n">
        <v>785</v>
      </c>
      <c r="E37" s="48" t="n">
        <v>21988410.12</v>
      </c>
      <c r="F37" s="25" t="n">
        <v>1.006461373024454</v>
      </c>
      <c r="G37" s="25" t="n">
        <v>0.8988154565128694</v>
      </c>
      <c r="H37" s="25" t="n">
        <v>0.824203821656051</v>
      </c>
    </row>
    <row r="38">
      <c r="A38" s="138" t="n">
        <v>45930</v>
      </c>
      <c r="B38" s="19" t="inlineStr">
        <is>
          <t>Sep-25</t>
        </is>
      </c>
      <c r="C38" s="19" t="inlineStr">
        <is>
          <t>Enterprise</t>
        </is>
      </c>
      <c r="D38" s="48" t="n">
        <v>46</v>
      </c>
      <c r="E38" s="48" t="n">
        <v>9078607.199999999</v>
      </c>
      <c r="F38" s="25" t="n">
        <v>1.002231324646362</v>
      </c>
      <c r="G38" s="25" t="n">
        <v>0.9656150956723848</v>
      </c>
      <c r="H38" s="25" t="n">
        <v>0.9782608695652174</v>
      </c>
    </row>
    <row r="39">
      <c r="A39" s="138" t="n">
        <v>45930</v>
      </c>
      <c r="B39" s="19" t="inlineStr">
        <is>
          <t>Sep-25</t>
        </is>
      </c>
      <c r="C39" s="19" t="inlineStr">
        <is>
          <t>Mid-Market</t>
        </is>
      </c>
      <c r="D39" s="48" t="n">
        <v>239</v>
      </c>
      <c r="E39" s="48" t="n">
        <v>9644138.279999999</v>
      </c>
      <c r="F39" s="25" t="n">
        <v>1.065879839292392</v>
      </c>
      <c r="G39" s="25" t="n">
        <v>0.8811286517554994</v>
      </c>
      <c r="H39" s="25" t="n">
        <v>0.8661087866108786</v>
      </c>
    </row>
    <row r="40">
      <c r="A40" s="138" t="n">
        <v>45930</v>
      </c>
      <c r="B40" s="19" t="inlineStr">
        <is>
          <t>Sep-25</t>
        </is>
      </c>
      <c r="C40" s="19" t="inlineStr">
        <is>
          <t>SMB</t>
        </is>
      </c>
      <c r="D40" s="48" t="n">
        <v>511</v>
      </c>
      <c r="E40" s="48" t="n">
        <v>3680927.04</v>
      </c>
      <c r="F40" s="25" t="n">
        <v>0.841786106143522</v>
      </c>
      <c r="G40" s="25" t="n">
        <v>0.765340157353404</v>
      </c>
      <c r="H40" s="25" t="n">
        <v>0.7788649706457925</v>
      </c>
    </row>
    <row r="41">
      <c r="A41" s="138" t="n">
        <v>45930</v>
      </c>
      <c r="B41" s="19" t="inlineStr">
        <is>
          <t>Sep-25</t>
        </is>
      </c>
      <c r="C41" s="19" t="inlineStr">
        <is>
          <t>Total</t>
        </is>
      </c>
      <c r="D41" s="48" t="n">
        <v>796</v>
      </c>
      <c r="E41" s="48" t="n">
        <v>22403672.52</v>
      </c>
      <c r="F41" s="25" t="n">
        <v>1.003269008683046</v>
      </c>
      <c r="G41" s="25" t="n">
        <v>0.8963409004516194</v>
      </c>
      <c r="H41" s="25" t="n">
        <v>0.8165829145728644</v>
      </c>
    </row>
    <row r="42">
      <c r="A42" s="138" t="n">
        <v>45961</v>
      </c>
      <c r="B42" s="19" t="inlineStr">
        <is>
          <t>Oct-25</t>
        </is>
      </c>
      <c r="C42" s="19" t="inlineStr">
        <is>
          <t>Enterprise</t>
        </is>
      </c>
      <c r="D42" s="48" t="n">
        <v>46</v>
      </c>
      <c r="E42" s="48" t="n">
        <v>9233107.92</v>
      </c>
      <c r="F42" s="25" t="n">
        <v>1.012467533250711</v>
      </c>
      <c r="G42" s="25" t="n">
        <v>0.979043654457794</v>
      </c>
      <c r="H42" s="25" t="n">
        <v>1</v>
      </c>
    </row>
    <row r="43">
      <c r="A43" s="138" t="n">
        <v>45961</v>
      </c>
      <c r="B43" s="19" t="inlineStr">
        <is>
          <t>Oct-25</t>
        </is>
      </c>
      <c r="C43" s="19" t="inlineStr">
        <is>
          <t>Mid-Market</t>
        </is>
      </c>
      <c r="D43" s="48" t="n">
        <v>240</v>
      </c>
      <c r="E43" s="48" t="n">
        <v>9775622.880000001</v>
      </c>
      <c r="F43" s="25" t="n">
        <v>1.074267582629988</v>
      </c>
      <c r="G43" s="25" t="n">
        <v>0.8760512619120183</v>
      </c>
      <c r="H43" s="25" t="n">
        <v>0.8625</v>
      </c>
    </row>
    <row r="44">
      <c r="A44" s="138" t="n">
        <v>45961</v>
      </c>
      <c r="B44" s="19" t="inlineStr">
        <is>
          <t>Oct-25</t>
        </is>
      </c>
      <c r="C44" s="19" t="inlineStr">
        <is>
          <t>SMB</t>
        </is>
      </c>
      <c r="D44" s="48" t="n">
        <v>517</v>
      </c>
      <c r="E44" s="48" t="n">
        <v>3746993.52</v>
      </c>
      <c r="F44" s="25" t="n">
        <v>0.8582285138299359</v>
      </c>
      <c r="G44" s="25" t="n">
        <v>0.7761019026261886</v>
      </c>
      <c r="H44" s="25" t="n">
        <v>0.7775628626692457</v>
      </c>
    </row>
    <row r="45">
      <c r="A45" s="138" t="n">
        <v>45961</v>
      </c>
      <c r="B45" s="19" t="inlineStr">
        <is>
          <t>Oct-25</t>
        </is>
      </c>
      <c r="C45" s="19" t="inlineStr">
        <is>
          <t>Total</t>
        </is>
      </c>
      <c r="D45" s="48" t="n">
        <v>803</v>
      </c>
      <c r="E45" s="48" t="n">
        <v>22755724.32</v>
      </c>
      <c r="F45" s="25" t="n">
        <v>1.013618952121318</v>
      </c>
      <c r="G45" s="25" t="n">
        <v>0.9013824825594478</v>
      </c>
      <c r="H45" s="25" t="n">
        <v>0.8156911581569116</v>
      </c>
    </row>
    <row r="46">
      <c r="A46" s="138" t="n">
        <v>45991</v>
      </c>
      <c r="B46" s="19" t="inlineStr">
        <is>
          <t>Nov-25</t>
        </is>
      </c>
      <c r="C46" s="19" t="inlineStr">
        <is>
          <t>Enterprise</t>
        </is>
      </c>
      <c r="D46" s="48" t="n">
        <v>47</v>
      </c>
      <c r="E46" s="48" t="n">
        <v>9447702.119999999</v>
      </c>
      <c r="F46" s="25" t="n">
        <v>0.9904369508212224</v>
      </c>
      <c r="G46" s="25" t="n">
        <v>0.94966763410191</v>
      </c>
      <c r="H46" s="25" t="n">
        <v>0.9787234042553192</v>
      </c>
    </row>
    <row r="47">
      <c r="A47" s="138" t="n">
        <v>45991</v>
      </c>
      <c r="B47" s="19" t="inlineStr">
        <is>
          <t>Nov-25</t>
        </is>
      </c>
      <c r="C47" s="19" t="inlineStr">
        <is>
          <t>Mid-Market</t>
        </is>
      </c>
      <c r="D47" s="48" t="n">
        <v>240</v>
      </c>
      <c r="E47" s="48" t="n">
        <v>10047234.84</v>
      </c>
      <c r="F47" s="25" t="n">
        <v>1.055670170838766</v>
      </c>
      <c r="G47" s="25" t="n">
        <v>0.8750688502867721</v>
      </c>
      <c r="H47" s="25" t="n">
        <v>0.875</v>
      </c>
    </row>
    <row r="48">
      <c r="A48" s="138" t="n">
        <v>45991</v>
      </c>
      <c r="B48" s="19" t="inlineStr">
        <is>
          <t>Nov-25</t>
        </is>
      </c>
      <c r="C48" s="19" t="inlineStr">
        <is>
          <t>SMB</t>
        </is>
      </c>
      <c r="D48" s="48" t="n">
        <v>514</v>
      </c>
      <c r="E48" s="48" t="n">
        <v>3811640.04</v>
      </c>
      <c r="F48" s="25" t="n">
        <v>0.8616777464642228</v>
      </c>
      <c r="G48" s="25" t="n">
        <v>0.7798562111861959</v>
      </c>
      <c r="H48" s="25" t="n">
        <v>0.7821011673151751</v>
      </c>
    </row>
    <row r="49">
      <c r="A49" s="138" t="n">
        <v>45991</v>
      </c>
      <c r="B49" s="19" t="inlineStr">
        <is>
          <t>Nov-25</t>
        </is>
      </c>
      <c r="C49" s="19" t="inlineStr">
        <is>
          <t>Total</t>
        </is>
      </c>
      <c r="D49" s="48" t="n">
        <v>801</v>
      </c>
      <c r="E49" s="48" t="n">
        <v>23306577</v>
      </c>
      <c r="F49" s="25" t="n">
        <v>0.9975006110935982</v>
      </c>
      <c r="G49" s="25" t="n">
        <v>0.889737275448042</v>
      </c>
      <c r="H49" s="25" t="n">
        <v>0.8214731585518102</v>
      </c>
    </row>
    <row r="50">
      <c r="A50" s="138" t="n">
        <v>46022</v>
      </c>
      <c r="B50" s="19" t="inlineStr">
        <is>
          <t>Dec-25</t>
        </is>
      </c>
      <c r="C50" s="19" t="inlineStr">
        <is>
          <t>Enterprise</t>
        </is>
      </c>
      <c r="D50" s="48" t="n">
        <v>49</v>
      </c>
      <c r="E50" s="48" t="n">
        <v>10080994.56</v>
      </c>
      <c r="F50" s="25" t="n">
        <v>1.00160499640226</v>
      </c>
      <c r="G50" s="25" t="n">
        <v>0.9588944843156428</v>
      </c>
      <c r="H50" s="25" t="n">
        <v>0.979591836734694</v>
      </c>
    </row>
    <row r="51">
      <c r="A51" s="138" t="n">
        <v>46022</v>
      </c>
      <c r="B51" s="19" t="inlineStr">
        <is>
          <t>Dec-25</t>
        </is>
      </c>
      <c r="C51" s="19" t="inlineStr">
        <is>
          <t>Mid-Market</t>
        </is>
      </c>
      <c r="D51" s="48" t="n">
        <v>244</v>
      </c>
      <c r="E51" s="48" t="n">
        <v>10460274.72</v>
      </c>
      <c r="F51" s="25" t="n">
        <v>1.06446931634698</v>
      </c>
      <c r="G51" s="25" t="n">
        <v>0.8947866026983275</v>
      </c>
      <c r="H51" s="25" t="n">
        <v>0.8852459016393442</v>
      </c>
    </row>
    <row r="52">
      <c r="A52" s="138" t="n">
        <v>46022</v>
      </c>
      <c r="B52" s="19" t="inlineStr">
        <is>
          <t>Dec-25</t>
        </is>
      </c>
      <c r="C52" s="19" t="inlineStr">
        <is>
          <t>SMB</t>
        </is>
      </c>
      <c r="D52" s="48" t="n">
        <v>528</v>
      </c>
      <c r="E52" s="48" t="n">
        <v>3953928.12</v>
      </c>
      <c r="F52" s="25" t="n">
        <v>0.8409066981217656</v>
      </c>
      <c r="G52" s="25" t="n">
        <v>0.7624175019145264</v>
      </c>
      <c r="H52" s="25" t="n">
        <v>0.7765151515151515</v>
      </c>
    </row>
    <row r="53">
      <c r="A53" s="138" t="n">
        <v>46022</v>
      </c>
      <c r="B53" s="19" t="inlineStr">
        <is>
          <t>Dec-25</t>
        </is>
      </c>
      <c r="C53" s="19" t="inlineStr">
        <is>
          <t>Total</t>
        </is>
      </c>
      <c r="D53" s="48" t="n">
        <v>821</v>
      </c>
      <c r="E53" s="48" t="n">
        <v>24495197.4</v>
      </c>
      <c r="F53" s="25" t="n">
        <v>1.002510828510408</v>
      </c>
      <c r="G53" s="25" t="n">
        <v>0.8998036390594674</v>
      </c>
      <c r="H53" s="25" t="n">
        <v>0.8209500609013398</v>
      </c>
    </row>
    <row r="54">
      <c r="A54" s="138" t="n">
        <v>46053</v>
      </c>
      <c r="B54" s="19" t="inlineStr">
        <is>
          <t>Jan-26</t>
        </is>
      </c>
      <c r="C54" s="19" t="inlineStr">
        <is>
          <t>Enterprise</t>
        </is>
      </c>
      <c r="D54" s="48" t="n">
        <v>50</v>
      </c>
      <c r="E54" s="48" t="n">
        <v>10416275.28</v>
      </c>
      <c r="F54" s="25" t="n">
        <v>1.001626627517471</v>
      </c>
      <c r="G54" s="25" t="n">
        <v>0.9629689510279532</v>
      </c>
      <c r="H54" s="25" t="n">
        <v>0.98</v>
      </c>
    </row>
    <row r="55">
      <c r="A55" s="138" t="n">
        <v>46053</v>
      </c>
      <c r="B55" s="19" t="inlineStr">
        <is>
          <t>Jan-26</t>
        </is>
      </c>
      <c r="C55" s="19" t="inlineStr">
        <is>
          <t>Mid-Market</t>
        </is>
      </c>
      <c r="D55" s="48" t="n">
        <v>240</v>
      </c>
      <c r="E55" s="48" t="n">
        <v>10294069.68</v>
      </c>
      <c r="F55" s="25" t="n">
        <v>1.090332518518565</v>
      </c>
      <c r="G55" s="25" t="n">
        <v>0.9162873472991686</v>
      </c>
      <c r="H55" s="25" t="n">
        <v>0.9083333333333332</v>
      </c>
    </row>
    <row r="56">
      <c r="A56" s="138" t="n">
        <v>46053</v>
      </c>
      <c r="B56" s="19" t="inlineStr">
        <is>
          <t>Jan-26</t>
        </is>
      </c>
      <c r="C56" s="19" t="inlineStr">
        <is>
          <t>SMB</t>
        </is>
      </c>
      <c r="D56" s="48" t="n">
        <v>527</v>
      </c>
      <c r="E56" s="48" t="n">
        <v>3972433.68</v>
      </c>
      <c r="F56" s="25" t="n">
        <v>0.8307196912095458</v>
      </c>
      <c r="G56" s="25" t="n">
        <v>0.7513673884670115</v>
      </c>
      <c r="H56" s="25" t="n">
        <v>0.7666034155597723</v>
      </c>
    </row>
    <row r="57">
      <c r="A57" s="138" t="n">
        <v>46053</v>
      </c>
      <c r="B57" s="19" t="inlineStr">
        <is>
          <t>Jan-26</t>
        </is>
      </c>
      <c r="C57" s="19" t="inlineStr">
        <is>
          <t>Total</t>
        </is>
      </c>
      <c r="D57" s="48" t="n">
        <v>817</v>
      </c>
      <c r="E57" s="48" t="n">
        <v>24682778.64</v>
      </c>
      <c r="F57" s="25" t="n">
        <v>1.011116164999161</v>
      </c>
      <c r="G57" s="25" t="n">
        <v>0.9094451207216272</v>
      </c>
      <c r="H57" s="25" t="n">
        <v>0.8212974296205631</v>
      </c>
    </row>
    <row r="58">
      <c r="A58" s="138" t="n">
        <v>46081</v>
      </c>
      <c r="B58" s="19" t="inlineStr">
        <is>
          <t>Feb-26</t>
        </is>
      </c>
      <c r="C58" s="19" t="inlineStr">
        <is>
          <t>Enterprise</t>
        </is>
      </c>
      <c r="D58" s="48" t="n">
        <v>51</v>
      </c>
      <c r="E58" s="48" t="n">
        <v>10580143.44</v>
      </c>
      <c r="F58" s="25" t="n">
        <v>1.003412297782609</v>
      </c>
      <c r="G58" s="25" t="n">
        <v>0.9694219646610008</v>
      </c>
      <c r="H58" s="25" t="n">
        <v>0.9803921568627452</v>
      </c>
    </row>
    <row r="59">
      <c r="A59" s="138" t="n">
        <v>46081</v>
      </c>
      <c r="B59" s="19" t="inlineStr">
        <is>
          <t>Feb-26</t>
        </is>
      </c>
      <c r="C59" s="19" t="inlineStr">
        <is>
          <t>Mid-Market</t>
        </is>
      </c>
      <c r="D59" s="48" t="n">
        <v>241</v>
      </c>
      <c r="E59" s="48" t="n">
        <v>10615613.28</v>
      </c>
      <c r="F59" s="25" t="n">
        <v>1.07086173357664</v>
      </c>
      <c r="G59" s="25" t="n">
        <v>0.9180768046968644</v>
      </c>
      <c r="H59" s="25" t="n">
        <v>0.921161825726141</v>
      </c>
    </row>
    <row r="60">
      <c r="A60" s="138" t="n">
        <v>46081</v>
      </c>
      <c r="B60" s="19" t="inlineStr">
        <is>
          <t>Feb-26</t>
        </is>
      </c>
      <c r="C60" s="19" t="inlineStr">
        <is>
          <t>SMB</t>
        </is>
      </c>
      <c r="D60" s="48" t="n">
        <v>527</v>
      </c>
      <c r="E60" s="48" t="n">
        <v>4036578.72</v>
      </c>
      <c r="F60" s="25" t="n">
        <v>0.8381230528807821</v>
      </c>
      <c r="G60" s="25" t="n">
        <v>0.7550040792961421</v>
      </c>
      <c r="H60" s="25" t="n">
        <v>0.7685009487666035</v>
      </c>
    </row>
    <row r="61">
      <c r="A61" s="138" t="n">
        <v>46081</v>
      </c>
      <c r="B61" s="19" t="inlineStr">
        <is>
          <t>Feb-26</t>
        </is>
      </c>
      <c r="C61" s="19" t="inlineStr">
        <is>
          <t>Total</t>
        </is>
      </c>
      <c r="D61" s="48" t="n">
        <v>819</v>
      </c>
      <c r="E61" s="48" t="n">
        <v>25232335.44</v>
      </c>
      <c r="F61" s="25" t="n">
        <v>1.005346881992783</v>
      </c>
      <c r="G61" s="25" t="n">
        <v>0.9135184975172476</v>
      </c>
      <c r="H61" s="25" t="n">
        <v>0.8266178266178266</v>
      </c>
    </row>
    <row r="62">
      <c r="A62" s="138" t="n">
        <v>46112</v>
      </c>
      <c r="B62" s="19" t="inlineStr">
        <is>
          <t>Mar-26</t>
        </is>
      </c>
      <c r="C62" s="19" t="inlineStr">
        <is>
          <t>Enterprise</t>
        </is>
      </c>
      <c r="D62" s="48" t="n">
        <v>52</v>
      </c>
      <c r="E62" s="48" t="n">
        <v>10649007.6</v>
      </c>
      <c r="F62" s="25" t="n">
        <v>1.007287563584798</v>
      </c>
      <c r="G62" s="25" t="n">
        <v>0.9696197042811764</v>
      </c>
      <c r="H62" s="25" t="n">
        <v>0.9807692307692308</v>
      </c>
    </row>
    <row r="63">
      <c r="A63" s="138" t="n">
        <v>46112</v>
      </c>
      <c r="B63" s="19" t="inlineStr">
        <is>
          <t>Mar-26</t>
        </is>
      </c>
      <c r="C63" s="19" t="inlineStr">
        <is>
          <t>Mid-Market</t>
        </is>
      </c>
      <c r="D63" s="48" t="n">
        <v>245</v>
      </c>
      <c r="E63" s="48" t="n">
        <v>11018997.96</v>
      </c>
      <c r="F63" s="25" t="n">
        <v>1.044973316248803</v>
      </c>
      <c r="G63" s="25" t="n">
        <v>0.9144663713142206</v>
      </c>
      <c r="H63" s="25" t="n">
        <v>0.9142857142857144</v>
      </c>
    </row>
    <row r="64">
      <c r="A64" s="138" t="n">
        <v>46112</v>
      </c>
      <c r="B64" s="19" t="inlineStr">
        <is>
          <t>Mar-26</t>
        </is>
      </c>
      <c r="C64" s="19" t="inlineStr">
        <is>
          <t>SMB</t>
        </is>
      </c>
      <c r="D64" s="48" t="n">
        <v>539</v>
      </c>
      <c r="E64" s="48" t="n">
        <v>4146323.88</v>
      </c>
      <c r="F64" s="25" t="n">
        <v>0.8347429241345228</v>
      </c>
      <c r="G64" s="25" t="n">
        <v>0.7509995673565182</v>
      </c>
      <c r="H64" s="25" t="n">
        <v>0.7662337662337663</v>
      </c>
    </row>
    <row r="65">
      <c r="A65" s="138" t="n">
        <v>46112</v>
      </c>
      <c r="B65" s="19" t="inlineStr">
        <is>
          <t>Mar-26</t>
        </is>
      </c>
      <c r="C65" s="19" t="inlineStr">
        <is>
          <t>Total</t>
        </is>
      </c>
      <c r="D65" s="48" t="n">
        <v>836</v>
      </c>
      <c r="E65" s="48" t="n">
        <v>25814329.44</v>
      </c>
      <c r="F65" s="25" t="n">
        <v>0.9956596525096488</v>
      </c>
      <c r="G65" s="25" t="n">
        <v>0.9109621915478274</v>
      </c>
      <c r="H65" s="25" t="n">
        <v>0.8229665071770335</v>
      </c>
    </row>
    <row r="66">
      <c r="A66" s="138" t="n">
        <v>46142</v>
      </c>
      <c r="B66" s="19" t="inlineStr">
        <is>
          <t>Apr-26</t>
        </is>
      </c>
      <c r="C66" s="19" t="inlineStr">
        <is>
          <t>Enterprise</t>
        </is>
      </c>
      <c r="D66" s="48" t="n">
        <v>52</v>
      </c>
      <c r="E66" s="48" t="n">
        <v>10845873.24</v>
      </c>
      <c r="F66" s="25" t="n">
        <v>0.9929398215979888</v>
      </c>
      <c r="G66" s="25" t="n">
        <v>0.9587742959828286</v>
      </c>
      <c r="H66" s="25" t="n">
        <v>0.9807692307692308</v>
      </c>
    </row>
    <row r="67">
      <c r="A67" s="138" t="n">
        <v>46142</v>
      </c>
      <c r="B67" s="19" t="inlineStr">
        <is>
          <t>Apr-26</t>
        </is>
      </c>
      <c r="C67" s="19" t="inlineStr">
        <is>
          <t>Mid-Market</t>
        </is>
      </c>
      <c r="D67" s="48" t="n">
        <v>248</v>
      </c>
      <c r="E67" s="48" t="n">
        <v>11405864.52</v>
      </c>
      <c r="F67" s="25" t="n">
        <v>1.040040675496293</v>
      </c>
      <c r="G67" s="25" t="n">
        <v>0.9042522767051068</v>
      </c>
      <c r="H67" s="25" t="n">
        <v>0.8991935483870968</v>
      </c>
    </row>
    <row r="68">
      <c r="A68" s="138" t="n">
        <v>46142</v>
      </c>
      <c r="B68" s="19" t="inlineStr">
        <is>
          <t>Apr-26</t>
        </is>
      </c>
      <c r="C68" s="19" t="inlineStr">
        <is>
          <t>SMB</t>
        </is>
      </c>
      <c r="D68" s="48" t="n">
        <v>534</v>
      </c>
      <c r="E68" s="48" t="n">
        <v>4177912.32</v>
      </c>
      <c r="F68" s="25" t="n">
        <v>0.8315421420811436</v>
      </c>
      <c r="G68" s="25" t="n">
        <v>0.7549374229088657</v>
      </c>
      <c r="H68" s="25" t="n">
        <v>0.7677902621722846</v>
      </c>
    </row>
    <row r="69">
      <c r="A69" s="138" t="n">
        <v>46142</v>
      </c>
      <c r="B69" s="19" t="inlineStr">
        <is>
          <t>Apr-26</t>
        </is>
      </c>
      <c r="C69" s="19" t="inlineStr">
        <is>
          <t>Total</t>
        </is>
      </c>
      <c r="D69" s="48" t="n">
        <v>834</v>
      </c>
      <c r="E69" s="48" t="n">
        <v>26429650.08</v>
      </c>
      <c r="F69" s="25" t="n">
        <v>0.987753245350572</v>
      </c>
      <c r="G69" s="25" t="n">
        <v>0.9030231474029414</v>
      </c>
      <c r="H69" s="25" t="n">
        <v>0.8201438848920863</v>
      </c>
    </row>
    <row r="70">
      <c r="A70" s="138" t="n">
        <v>46173</v>
      </c>
      <c r="B70" s="19" t="inlineStr">
        <is>
          <t>May-26</t>
        </is>
      </c>
      <c r="C70" s="19" t="inlineStr">
        <is>
          <t>Enterprise</t>
        </is>
      </c>
      <c r="D70" s="48" t="n">
        <v>52</v>
      </c>
      <c r="E70" s="48" t="n">
        <v>10868942.64</v>
      </c>
      <c r="F70" s="25" t="n">
        <v>1.031119126413938</v>
      </c>
      <c r="G70" s="25" t="n">
        <v>0.9713327993053056</v>
      </c>
      <c r="H70" s="25" t="n">
        <v>0.9807692307692308</v>
      </c>
    </row>
    <row r="71">
      <c r="A71" s="138" t="n">
        <v>46173</v>
      </c>
      <c r="B71" s="19" t="inlineStr">
        <is>
          <t>May-26</t>
        </is>
      </c>
      <c r="C71" s="19" t="inlineStr">
        <is>
          <t>Mid-Market</t>
        </is>
      </c>
      <c r="D71" s="48" t="n">
        <v>248</v>
      </c>
      <c r="E71" s="48" t="n">
        <v>11559016.08</v>
      </c>
      <c r="F71" s="25" t="n">
        <v>1.0777103824221</v>
      </c>
      <c r="G71" s="25" t="n">
        <v>0.9077253710334834</v>
      </c>
      <c r="H71" s="25" t="n">
        <v>0.9112903225806452</v>
      </c>
    </row>
    <row r="72">
      <c r="A72" s="138" t="n">
        <v>46173</v>
      </c>
      <c r="B72" s="19" t="inlineStr">
        <is>
          <t>May-26</t>
        </is>
      </c>
      <c r="C72" s="19" t="inlineStr">
        <is>
          <t>SMB</t>
        </is>
      </c>
      <c r="D72" s="48" t="n">
        <v>529</v>
      </c>
      <c r="E72" s="48" t="n">
        <v>4163171.28</v>
      </c>
      <c r="F72" s="25" t="n">
        <v>0.843842639114286</v>
      </c>
      <c r="G72" s="25" t="n">
        <v>0.7652031265934368</v>
      </c>
      <c r="H72" s="25" t="n">
        <v>0.7826086956521739</v>
      </c>
    </row>
    <row r="73">
      <c r="A73" s="138" t="n">
        <v>46173</v>
      </c>
      <c r="B73" s="19" t="inlineStr">
        <is>
          <t>May-26</t>
        </is>
      </c>
      <c r="C73" s="19" t="inlineStr">
        <is>
          <t>Total</t>
        </is>
      </c>
      <c r="D73" s="48" t="n">
        <v>829</v>
      </c>
      <c r="E73" s="48" t="n">
        <v>26591130</v>
      </c>
      <c r="F73" s="25" t="n">
        <v>1.022051628494163</v>
      </c>
      <c r="G73" s="25" t="n">
        <v>0.9114108471509108</v>
      </c>
      <c r="H73" s="25" t="n">
        <v>0.8335343787696019</v>
      </c>
    </row>
    <row r="74">
      <c r="A74" s="138" t="n">
        <v>46203</v>
      </c>
      <c r="B74" s="19" t="inlineStr">
        <is>
          <t>Jun-26</t>
        </is>
      </c>
      <c r="C74" s="19" t="inlineStr">
        <is>
          <t>Enterprise</t>
        </is>
      </c>
      <c r="D74" s="48" t="n">
        <v>53</v>
      </c>
      <c r="E74" s="48" t="n">
        <v>10936915.92</v>
      </c>
      <c r="F74" s="25" t="n">
        <v>1.003391921476891</v>
      </c>
      <c r="G74" s="25" t="n">
        <v>0.935070569693106</v>
      </c>
      <c r="H74" s="25" t="n">
        <v>0.9622641509433962</v>
      </c>
    </row>
    <row r="75">
      <c r="A75" s="138" t="n">
        <v>46203</v>
      </c>
      <c r="B75" s="19" t="inlineStr">
        <is>
          <t>Jun-26</t>
        </is>
      </c>
      <c r="C75" s="19" t="inlineStr">
        <is>
          <t>Mid-Market</t>
        </is>
      </c>
      <c r="D75" s="48" t="n">
        <v>251</v>
      </c>
      <c r="E75" s="48" t="n">
        <v>11906832.48</v>
      </c>
      <c r="F75" s="25" t="n">
        <v>1.093026383117469</v>
      </c>
      <c r="G75" s="25" t="n">
        <v>0.905625731957892</v>
      </c>
      <c r="H75" s="25" t="n">
        <v>0.9083665338645418</v>
      </c>
    </row>
    <row r="76">
      <c r="A76" s="138" t="n">
        <v>46203</v>
      </c>
      <c r="B76" s="19" t="inlineStr">
        <is>
          <t>Jun-26</t>
        </is>
      </c>
      <c r="C76" s="19" t="inlineStr">
        <is>
          <t>SMB</t>
        </is>
      </c>
      <c r="D76" s="48" t="n">
        <v>534</v>
      </c>
      <c r="E76" s="48" t="n">
        <v>4294022.52</v>
      </c>
      <c r="F76" s="25" t="n">
        <v>0.8466066544988684</v>
      </c>
      <c r="G76" s="25" t="n">
        <v>0.7671210443488778</v>
      </c>
      <c r="H76" s="25" t="n">
        <v>0.7865168539325843</v>
      </c>
    </row>
    <row r="77">
      <c r="A77" s="138" t="n">
        <v>46203</v>
      </c>
      <c r="B77" s="19" t="inlineStr">
        <is>
          <t>Jun-26</t>
        </is>
      </c>
      <c r="C77" s="19" t="inlineStr">
        <is>
          <t>Total</t>
        </is>
      </c>
      <c r="D77" s="48" t="n">
        <v>838</v>
      </c>
      <c r="E77" s="48" t="n">
        <v>27137770.92</v>
      </c>
      <c r="F77" s="25" t="n">
        <v>1.017911280975615</v>
      </c>
      <c r="G77" s="25" t="n">
        <v>0.8955767661111939</v>
      </c>
      <c r="H77" s="25" t="n">
        <v>0.834128878281623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J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0" customWidth="1" min="4" max="4"/>
    <col width="30" customWidth="1" min="5" max="5"/>
    <col width="31" customWidth="1" min="6" max="6"/>
    <col width="32" customWidth="1" min="7" max="7"/>
    <col width="19" customWidth="1" min="8" max="8"/>
    <col width="12" customWidth="1" min="10" max="10"/>
    <col width="29" customWidth="1" min="11" max="11"/>
    <col width="29" customWidth="1" min="12" max="12"/>
    <col width="31" customWidth="1" min="13" max="13"/>
    <col width="30" customWidth="1" min="14" max="14"/>
    <col width="21" customWidth="1" min="15" max="15"/>
    <col width="28" customWidth="1" min="16" max="16"/>
    <col width="28" customWidth="1" min="17" max="17"/>
    <col width="31" customWidth="1" min="18" max="18"/>
    <col width="23" customWidth="1" min="19" max="19"/>
    <col width="21" customWidth="1" min="20" max="20"/>
    <col width="25" customWidth="1" min="21" max="21"/>
    <col width="18" customWidth="1" min="24" max="24"/>
    <col width="15" customWidth="1" min="25" max="25"/>
    <col width="12" customWidth="1" min="26" max="26"/>
    <col width="24" customWidth="1" min="27" max="27"/>
    <col width="20" customWidth="1" min="28" max="28"/>
    <col width="21" customWidth="1" min="29" max="29"/>
    <col width="31" customWidth="1" min="30" max="30"/>
    <col width="28" customWidth="1" min="31" max="31"/>
    <col width="22" customWidth="1" min="32" max="32"/>
    <col width="12" customWidth="1" min="34" max="34"/>
    <col width="14" customWidth="1" min="35" max="35"/>
    <col width="15" customWidth="1" min="36" max="36"/>
    <col width="12" customWidth="1" min="37" max="37"/>
    <col width="32" customWidth="1" min="38" max="38"/>
    <col width="27" customWidth="1" min="39" max="39"/>
    <col width="25" customWidth="1" min="40" max="40"/>
    <col width="12" customWidth="1" min="42" max="42"/>
    <col width="13" customWidth="1" min="43" max="43"/>
    <col width="16" customWidth="1" min="44" max="44"/>
    <col width="25" customWidth="1" min="45" max="45"/>
    <col width="20" customWidth="1" min="46" max="46"/>
    <col width="17" customWidth="1" min="47" max="47"/>
    <col width="12" customWidth="1" min="48" max="48"/>
    <col width="31" customWidth="1" min="49" max="49"/>
    <col width="22" customWidth="1" min="50" max="50"/>
    <col width="18" customWidth="1" min="52" max="52"/>
    <col width="15" customWidth="1" min="53" max="53"/>
    <col width="20" customWidth="1" min="54" max="54"/>
    <col width="28" customWidth="1" min="55" max="55"/>
    <col width="16" customWidth="1" min="56" max="56"/>
    <col width="26" customWidth="1" min="58" max="58"/>
    <col width="13" customWidth="1" min="59" max="59"/>
    <col width="17" customWidth="1" min="60" max="60"/>
    <col width="18" customWidth="1" min="61" max="61"/>
    <col width="16" customWidth="1" min="62" max="62"/>
  </cols>
  <sheetData>
    <row r="1">
      <c r="A1" s="137" t="inlineStr">
        <is>
          <t>segment</t>
        </is>
      </c>
      <c r="B1" s="136" t="inlineStr">
        <is>
          <t>quota_carrying_reps</t>
        </is>
      </c>
      <c r="C1" s="136" t="inlineStr">
        <is>
          <t>expected_attainment</t>
        </is>
      </c>
      <c r="D1" s="136" t="inlineStr">
        <is>
          <t>new_logo_share_of_bookings</t>
        </is>
      </c>
      <c r="E1" s="136" t="inlineStr">
        <is>
          <t>theoretical_quota_capacity</t>
        </is>
      </c>
      <c r="F1" s="136" t="inlineStr">
        <is>
          <t>blended_productive_capacity</t>
        </is>
      </c>
      <c r="G1" s="136" t="inlineStr">
        <is>
          <t>new_logo_productive_capacity</t>
        </is>
      </c>
      <c r="H1" s="136" t="inlineStr">
        <is>
          <t>actual_bookings</t>
        </is>
      </c>
      <c r="J1" s="136" t="inlineStr">
        <is>
          <t>segment</t>
        </is>
      </c>
      <c r="K1" s="136" t="inlineStr">
        <is>
          <t>h2_capacity_supported_arr</t>
        </is>
      </c>
      <c r="L1" s="136" t="inlineStr">
        <is>
          <t>h2_pipeline_supported_arr</t>
        </is>
      </c>
      <c r="M1" s="136" t="inlineStr">
        <is>
          <t>h2_constrained_new_logo_arr</t>
        </is>
      </c>
      <c r="N1" s="136" t="inlineStr">
        <is>
          <t>primary_binding_constraint</t>
        </is>
      </c>
      <c r="O1" s="136" t="inlineStr">
        <is>
          <t>h2_segment_months</t>
        </is>
      </c>
      <c r="P1" s="136" t="inlineStr">
        <is>
          <t>h2_pipeline_bound_months</t>
        </is>
      </c>
      <c r="Q1" s="136" t="inlineStr">
        <is>
          <t>h2_capacity_bound_months</t>
        </is>
      </c>
      <c r="R1" s="136" t="inlineStr">
        <is>
          <t>pipeline_share_of_h2_months</t>
        </is>
      </c>
      <c r="S1" s="136" t="inlineStr">
        <is>
          <t>budget_new_logo_arr</t>
        </is>
      </c>
      <c r="T1" s="136" t="inlineStr">
        <is>
          <t>base_new_logo_arr</t>
        </is>
      </c>
      <c r="U1" s="136" t="inlineStr">
        <is>
          <t>new_logo_arr_variance</t>
        </is>
      </c>
      <c r="X1" s="136" t="inlineStr">
        <is>
          <t>month_end_date</t>
        </is>
      </c>
      <c r="Y1" s="136" t="inlineStr">
        <is>
          <t>month_label</t>
        </is>
      </c>
      <c r="Z1" s="136" t="inlineStr">
        <is>
          <t>segment</t>
        </is>
      </c>
      <c r="AA1" s="136" t="inlineStr">
        <is>
          <t>theoretical_capacity</t>
        </is>
      </c>
      <c r="AB1" s="136" t="inlineStr">
        <is>
          <t>blended_capacity</t>
        </is>
      </c>
      <c r="AC1" s="136" t="inlineStr">
        <is>
          <t>new_logo_capacity</t>
        </is>
      </c>
      <c r="AD1" s="136" t="inlineStr">
        <is>
          <t>pipeline_supported_bookings</t>
        </is>
      </c>
      <c r="AE1" s="136" t="inlineStr">
        <is>
          <t>constrained_new_logo_arr</t>
        </is>
      </c>
      <c r="AF1" s="136" t="inlineStr">
        <is>
          <t>binding_constraint</t>
        </is>
      </c>
      <c r="AH1" s="136" t="inlineStr">
        <is>
          <t>segment</t>
        </is>
      </c>
      <c r="AI1" s="136" t="inlineStr">
        <is>
          <t>closed_won</t>
        </is>
      </c>
      <c r="AJ1" s="136" t="inlineStr">
        <is>
          <t>closed_lost</t>
        </is>
      </c>
      <c r="AK1" s="136" t="inlineStr">
        <is>
          <t>win_rate</t>
        </is>
      </c>
      <c r="AL1" s="136" t="inlineStr">
        <is>
          <t>required_pipeline_per_dollar</t>
        </is>
      </c>
      <c r="AM1" s="136" t="inlineStr">
        <is>
          <t>median_sales_cycle_days</t>
        </is>
      </c>
      <c r="AN1" s="136" t="inlineStr">
        <is>
          <t>mean_sales_cycle_days</t>
        </is>
      </c>
      <c r="AP1" s="136" t="inlineStr">
        <is>
          <t>segment</t>
        </is>
      </c>
      <c r="AQ1" s="136" t="inlineStr">
        <is>
          <t>new_logos</t>
        </is>
      </c>
      <c r="AR1" s="136" t="inlineStr">
        <is>
          <t>new_logo_arr</t>
        </is>
      </c>
      <c r="AS1" s="136" t="inlineStr">
        <is>
          <t>acquisition_sm_lagged</t>
        </is>
      </c>
      <c r="AT1" s="136" t="inlineStr">
        <is>
          <t>gross_margin_pct</t>
        </is>
      </c>
      <c r="AU1" s="136" t="inlineStr">
        <is>
          <t>new_logo_arpa</t>
        </is>
      </c>
      <c r="AV1" s="136" t="inlineStr">
        <is>
          <t>cac</t>
        </is>
      </c>
      <c r="AW1" s="136" t="inlineStr">
        <is>
          <t>cac_per_dollar_new_logo_arr</t>
        </is>
      </c>
      <c r="AX1" s="136" t="inlineStr">
        <is>
          <t>cac_payback_months</t>
        </is>
      </c>
      <c r="AZ1" s="136" t="inlineStr">
        <is>
          <t>fiscal_quarter</t>
        </is>
      </c>
      <c r="BA1" s="136" t="inlineStr">
        <is>
          <t>net_new_arr</t>
        </is>
      </c>
      <c r="BB1" s="136" t="inlineStr">
        <is>
          <t>prior_quarter_sm</t>
        </is>
      </c>
      <c r="BC1" s="136" t="inlineStr">
        <is>
          <t>net_arr_sales_efficiency</t>
        </is>
      </c>
      <c r="BD1" s="136" t="inlineStr">
        <is>
          <t>magic_number</t>
        </is>
      </c>
      <c r="BF1" s="136" t="inlineStr">
        <is>
          <t>expected_close_quarter</t>
        </is>
      </c>
      <c r="BG1" s="136" t="inlineStr">
        <is>
          <t>deal_type</t>
        </is>
      </c>
      <c r="BH1" s="136" t="inlineStr">
        <is>
          <t>opportunities</t>
        </is>
      </c>
      <c r="BI1" s="136" t="inlineStr">
        <is>
          <t>unweighted_acv</t>
        </is>
      </c>
      <c r="BJ1" s="136" t="inlineStr">
        <is>
          <t>weighted_acv</t>
        </is>
      </c>
    </row>
    <row r="2">
      <c r="A2" s="19" t="inlineStr">
        <is>
          <t>SMB</t>
        </is>
      </c>
      <c r="B2" s="48" t="n">
        <v>5</v>
      </c>
      <c r="C2" s="25" t="n">
        <v>0.47052666608506</v>
      </c>
      <c r="D2" s="25" t="n">
        <v>0.8680089553271376</v>
      </c>
      <c r="E2" s="48" t="n">
        <v>291666.6666666667</v>
      </c>
      <c r="F2" s="48" t="n">
        <v>137236.9442748092</v>
      </c>
      <c r="G2" s="48" t="n">
        <v>119122.8966322657</v>
      </c>
      <c r="H2" s="48" t="n">
        <v>73488.64999999999</v>
      </c>
      <c r="J2" s="19" t="inlineStr">
        <is>
          <t>SMB</t>
        </is>
      </c>
      <c r="K2" s="48" t="n">
        <v>714807.5304525261</v>
      </c>
      <c r="L2" s="48" t="n">
        <v>386188.8355911029</v>
      </c>
      <c r="M2" s="48" t="n">
        <v>366168.1092984933</v>
      </c>
      <c r="N2" s="19" t="inlineStr">
        <is>
          <t>Pipeline</t>
        </is>
      </c>
      <c r="O2" s="48" t="n">
        <v>6</v>
      </c>
      <c r="P2" s="48" t="n">
        <v>4</v>
      </c>
      <c r="Q2" s="48" t="n">
        <v>2</v>
      </c>
      <c r="R2" s="25" t="n">
        <v>0.6666666666666666</v>
      </c>
      <c r="S2" s="48" t="n">
        <v>1829782.44751854</v>
      </c>
      <c r="T2" s="48" t="n">
        <v>853380.7092984933</v>
      </c>
      <c r="U2" s="48" t="n">
        <v>-976401.7382200464</v>
      </c>
      <c r="X2" s="138" t="n">
        <v>46234</v>
      </c>
      <c r="Y2" s="19" t="inlineStr">
        <is>
          <t>Jul-26</t>
        </is>
      </c>
      <c r="Z2" s="19" t="inlineStr">
        <is>
          <t>SMB</t>
        </is>
      </c>
      <c r="AA2" s="48" t="n">
        <v>284439.1954935621</v>
      </c>
      <c r="AB2" s="48" t="n">
        <v>133836.2263595024</v>
      </c>
      <c r="AC2" s="48" t="n">
        <v>116171.043027238</v>
      </c>
      <c r="AD2" s="48" t="n">
        <v>135724.894606947</v>
      </c>
      <c r="AE2" s="48" t="n">
        <v>116171.043027238</v>
      </c>
      <c r="AF2" s="19" t="inlineStr">
        <is>
          <t>Capacity</t>
        </is>
      </c>
      <c r="AH2" s="19" t="inlineStr">
        <is>
          <t>SMB</t>
        </is>
      </c>
      <c r="AI2" s="48" t="n">
        <v>379</v>
      </c>
      <c r="AJ2" s="48" t="n">
        <v>975</v>
      </c>
      <c r="AK2" s="25" t="n">
        <v>0.2799113737075332</v>
      </c>
      <c r="AL2" s="57" t="n">
        <v>3.572559366754617</v>
      </c>
      <c r="AM2" s="58" t="n">
        <v>26</v>
      </c>
      <c r="AN2" s="58" t="n">
        <v>29.75197889182058</v>
      </c>
      <c r="AP2" s="19" t="inlineStr">
        <is>
          <t>SMB</t>
        </is>
      </c>
      <c r="AQ2" s="48" t="n">
        <v>178</v>
      </c>
      <c r="AR2" s="48" t="n">
        <v>1613700.84</v>
      </c>
      <c r="AS2" s="48" t="n">
        <v>2900389.320757376</v>
      </c>
      <c r="AT2" s="25" t="n">
        <v>0.7640622998472391</v>
      </c>
      <c r="AU2" s="48" t="n">
        <v>9065.735056179776</v>
      </c>
      <c r="AV2" s="48" t="n">
        <v>16294.32202672683</v>
      </c>
      <c r="AW2" s="57" t="n">
        <v>1.860651573885129</v>
      </c>
      <c r="AX2" s="118" t="n">
        <v>28.22836647233128</v>
      </c>
      <c r="AZ2" s="19" t="inlineStr">
        <is>
          <t>2024Q2</t>
        </is>
      </c>
      <c r="BA2" s="48" t="n">
        <v>1495240.32</v>
      </c>
      <c r="BB2" s="48" t="n">
        <v>2979231.67</v>
      </c>
      <c r="BC2" s="63" t="n">
        <v>0.5018878978283686</v>
      </c>
      <c r="BD2" s="63" t="n">
        <v>1.422220877505642</v>
      </c>
      <c r="BF2" s="19" t="inlineStr">
        <is>
          <t>2026Q2</t>
        </is>
      </c>
      <c r="BG2" s="19" t="inlineStr">
        <is>
          <t>Expansion</t>
        </is>
      </c>
      <c r="BH2" s="48" t="n">
        <v>4</v>
      </c>
      <c r="BI2" s="48" t="n">
        <v>11583.56</v>
      </c>
      <c r="BJ2" s="48" t="n">
        <v>5574.553</v>
      </c>
    </row>
    <row r="3">
      <c r="A3" s="19" t="inlineStr">
        <is>
          <t>Mid-Market</t>
        </is>
      </c>
      <c r="B3" s="48" t="n">
        <v>7</v>
      </c>
      <c r="C3" s="25" t="n">
        <v>0.7712577286363639</v>
      </c>
      <c r="D3" s="25" t="n">
        <v>0.4147782801896837</v>
      </c>
      <c r="E3" s="48" t="n">
        <v>562500</v>
      </c>
      <c r="F3" s="48" t="n">
        <v>433832.4723579547</v>
      </c>
      <c r="G3" s="48" t="n">
        <v>179944.2867750709</v>
      </c>
      <c r="H3" s="48" t="n">
        <v>340773.66</v>
      </c>
      <c r="J3" s="19" t="inlineStr">
        <is>
          <t>Mid-Market</t>
        </is>
      </c>
      <c r="K3" s="48" t="n">
        <v>1159750.851915886</v>
      </c>
      <c r="L3" s="48" t="n">
        <v>534297.9324879227</v>
      </c>
      <c r="M3" s="48" t="n">
        <v>517792.043640954</v>
      </c>
      <c r="N3" s="19" t="inlineStr">
        <is>
          <t>Pipeline</t>
        </is>
      </c>
      <c r="O3" s="48" t="n">
        <v>6</v>
      </c>
      <c r="P3" s="48" t="n">
        <v>5</v>
      </c>
      <c r="Q3" s="48" t="n">
        <v>1</v>
      </c>
      <c r="R3" s="25" t="n">
        <v>0.8333333333333334</v>
      </c>
      <c r="S3" s="48" t="n">
        <v>2525822.075571598</v>
      </c>
      <c r="T3" s="48" t="n">
        <v>1335241.523640954</v>
      </c>
      <c r="U3" s="48" t="n">
        <v>-1190580.551930644</v>
      </c>
      <c r="X3" s="138" t="n">
        <v>46265</v>
      </c>
      <c r="Y3" s="19" t="inlineStr">
        <is>
          <t>Aug-26</t>
        </is>
      </c>
      <c r="Z3" s="19" t="inlineStr">
        <is>
          <t>SMB</t>
        </is>
      </c>
      <c r="AA3" s="48" t="n">
        <v>277390.8203417994</v>
      </c>
      <c r="AB3" s="48" t="n">
        <v>130519.7778980267</v>
      </c>
      <c r="AC3" s="48" t="n">
        <v>113292.3360627962</v>
      </c>
      <c r="AD3" s="48" t="n">
        <v>3638.936946983546</v>
      </c>
      <c r="AE3" s="48" t="n">
        <v>3638.936946983546</v>
      </c>
      <c r="AF3" s="19" t="inlineStr">
        <is>
          <t>Pipeline</t>
        </is>
      </c>
      <c r="AH3" s="19" t="inlineStr">
        <is>
          <t>Mid-Market</t>
        </is>
      </c>
      <c r="AI3" s="48" t="n">
        <v>105</v>
      </c>
      <c r="AJ3" s="48" t="n">
        <v>395</v>
      </c>
      <c r="AK3" s="25" t="n">
        <v>0.21</v>
      </c>
      <c r="AL3" s="57" t="n">
        <v>4.761904761904762</v>
      </c>
      <c r="AM3" s="58" t="n">
        <v>58</v>
      </c>
      <c r="AN3" s="58" t="n">
        <v>71.55238095238096</v>
      </c>
      <c r="AP3" s="19" t="inlineStr">
        <is>
          <t>Mid-Market</t>
        </is>
      </c>
      <c r="AQ3" s="48" t="n">
        <v>47</v>
      </c>
      <c r="AR3" s="48" t="n">
        <v>2227544.16</v>
      </c>
      <c r="AS3" s="48" t="n">
        <v>3355113.468499599</v>
      </c>
      <c r="AT3" s="25" t="n">
        <v>0.7640622998472391</v>
      </c>
      <c r="AU3" s="48" t="n">
        <v>47394.55659574468</v>
      </c>
      <c r="AV3" s="48" t="n">
        <v>71385.39294679998</v>
      </c>
      <c r="AW3" s="57" t="n">
        <v>1.545225721130521</v>
      </c>
      <c r="AX3" s="118" t="n">
        <v>23.6555671360674</v>
      </c>
      <c r="AZ3" s="19" t="inlineStr">
        <is>
          <t>2024Q3</t>
        </is>
      </c>
      <c r="BA3" s="48" t="n">
        <v>859339.08</v>
      </c>
      <c r="BB3" s="48" t="n">
        <v>3219278.39</v>
      </c>
      <c r="BC3" s="63" t="n">
        <v>0.2669353115497414</v>
      </c>
      <c r="BD3" s="63" t="n">
        <v>0.4426294179547485</v>
      </c>
      <c r="BF3" s="19" t="inlineStr">
        <is>
          <t>2026Q2</t>
        </is>
      </c>
      <c r="BG3" s="19" t="inlineStr">
        <is>
          <t>New Logo</t>
        </is>
      </c>
      <c r="BH3" s="48" t="n">
        <v>12</v>
      </c>
      <c r="BI3" s="48" t="n">
        <v>970581.6200000001</v>
      </c>
      <c r="BJ3" s="48" t="n">
        <v>251268.3415</v>
      </c>
    </row>
    <row r="4">
      <c r="A4" s="19" t="inlineStr">
        <is>
          <t>Enterprise</t>
        </is>
      </c>
      <c r="B4" s="48" t="n">
        <v>4</v>
      </c>
      <c r="C4" s="25" t="n">
        <v>0.5721396848571428</v>
      </c>
      <c r="D4" s="25" t="n">
        <v>0.5737636670113491</v>
      </c>
      <c r="E4" s="48" t="n">
        <v>390833.3333333334</v>
      </c>
      <c r="F4" s="48" t="n">
        <v>223611.260165</v>
      </c>
      <c r="G4" s="48" t="n">
        <v>128300.0166172992</v>
      </c>
      <c r="H4" s="48" t="n">
        <v>480972.18</v>
      </c>
      <c r="J4" s="19" t="inlineStr">
        <is>
          <t>Enterprise</t>
        </is>
      </c>
      <c r="K4" s="48" t="n">
        <v>1046300.399881749</v>
      </c>
      <c r="L4" s="48" t="n">
        <v>298807.880625</v>
      </c>
      <c r="M4" s="48" t="n">
        <v>298807.880625</v>
      </c>
      <c r="N4" s="19" t="inlineStr">
        <is>
          <t>Pipeline</t>
        </is>
      </c>
      <c r="O4" s="48" t="n">
        <v>6</v>
      </c>
      <c r="P4" s="48" t="n">
        <v>6</v>
      </c>
      <c r="Q4" s="48" t="n">
        <v>0</v>
      </c>
      <c r="R4" s="25" t="n">
        <v>1</v>
      </c>
      <c r="S4" s="48" t="n">
        <v>1644395.476909863</v>
      </c>
      <c r="T4" s="48" t="n">
        <v>1017691.280625</v>
      </c>
      <c r="U4" s="48" t="n">
        <v>-626704.1962848626</v>
      </c>
      <c r="X4" s="138" t="n">
        <v>46295</v>
      </c>
      <c r="Y4" s="19" t="inlineStr">
        <is>
          <t>Sep-26</t>
        </is>
      </c>
      <c r="Z4" s="19" t="inlineStr">
        <is>
          <t>SMB</t>
        </is>
      </c>
      <c r="AA4" s="48" t="n">
        <v>285100.4365630041</v>
      </c>
      <c r="AB4" s="48" t="n">
        <v>134147.3579153855</v>
      </c>
      <c r="AC4" s="48" t="n">
        <v>116441.1080040293</v>
      </c>
      <c r="AD4" s="48" t="n">
        <v>0</v>
      </c>
      <c r="AE4" s="48" t="n">
        <v>0</v>
      </c>
      <c r="AF4" s="19" t="inlineStr">
        <is>
          <t>Pipeline</t>
        </is>
      </c>
      <c r="AH4" s="19" t="inlineStr">
        <is>
          <t>Enterprise</t>
        </is>
      </c>
      <c r="AI4" s="48" t="n">
        <v>20</v>
      </c>
      <c r="AJ4" s="48" t="n">
        <v>105</v>
      </c>
      <c r="AK4" s="25" t="n">
        <v>0.16</v>
      </c>
      <c r="AL4" s="57" t="n">
        <v>6.25</v>
      </c>
      <c r="AM4" s="58" t="n">
        <v>113.5</v>
      </c>
      <c r="AN4" s="58" t="n">
        <v>118.85</v>
      </c>
      <c r="AP4" s="19" t="inlineStr">
        <is>
          <t>Enterprise</t>
        </is>
      </c>
      <c r="AQ4" s="48" t="n">
        <v>7</v>
      </c>
      <c r="AR4" s="48" t="n">
        <v>1450206.48</v>
      </c>
      <c r="AS4" s="48" t="n">
        <v>2174566.515685634</v>
      </c>
      <c r="AT4" s="25" t="n">
        <v>0.7640622998472391</v>
      </c>
      <c r="AU4" s="48" t="n">
        <v>207172.3542857143</v>
      </c>
      <c r="AV4" s="48" t="n">
        <v>310652.3593836619</v>
      </c>
      <c r="AW4" s="57" t="n">
        <v>1.546407122351029</v>
      </c>
      <c r="AX4" s="118" t="n">
        <v>23.55023958508562</v>
      </c>
      <c r="AZ4" s="19" t="inlineStr">
        <is>
          <t>2024Q4</t>
        </is>
      </c>
      <c r="BA4" s="48" t="n">
        <v>2091524.88</v>
      </c>
      <c r="BB4" s="48" t="n">
        <v>3263899.53</v>
      </c>
      <c r="BC4" s="63" t="n">
        <v>0.6408055336188612</v>
      </c>
      <c r="BD4" s="63" t="n">
        <v>0.2854476344742144</v>
      </c>
      <c r="BF4" s="19" t="inlineStr">
        <is>
          <t>2026Q2</t>
        </is>
      </c>
      <c r="BG4" s="19" t="inlineStr">
        <is>
          <t>Renewal Uplift</t>
        </is>
      </c>
      <c r="BH4" s="48" t="n">
        <v>3</v>
      </c>
      <c r="BI4" s="48" t="n">
        <v>57658.22</v>
      </c>
      <c r="BJ4" s="48" t="n">
        <v>11290.1735</v>
      </c>
    </row>
    <row r="5">
      <c r="A5" s="19" t="inlineStr">
        <is>
          <t>Total</t>
        </is>
      </c>
      <c r="B5" s="48" t="n">
        <v>16</v>
      </c>
      <c r="C5" s="25" t="n"/>
      <c r="D5" s="25" t="n"/>
      <c r="E5" s="48" t="n">
        <v>1245000</v>
      </c>
      <c r="F5" s="48" t="n">
        <v>794680.6767977638</v>
      </c>
      <c r="G5" s="48" t="n">
        <v>427367.2000246359</v>
      </c>
      <c r="H5" s="48" t="n">
        <v>895234.49</v>
      </c>
      <c r="J5" s="19" t="inlineStr">
        <is>
          <t>Total</t>
        </is>
      </c>
      <c r="K5" s="48" t="n">
        <v>2920858.782250161</v>
      </c>
      <c r="L5" s="48" t="n">
        <v>1219294.648704026</v>
      </c>
      <c r="M5" s="48" t="n">
        <v>1182768.033564447</v>
      </c>
      <c r="N5" s="19" t="inlineStr">
        <is>
          <t>Pipeline</t>
        </is>
      </c>
      <c r="O5" s="48" t="n">
        <v>18</v>
      </c>
      <c r="P5" s="48" t="n">
        <v>15</v>
      </c>
      <c r="Q5" s="48" t="n">
        <v>3</v>
      </c>
      <c r="R5" s="25" t="n">
        <v>0.8333333333333334</v>
      </c>
      <c r="S5" s="48" t="n">
        <v>6000000</v>
      </c>
      <c r="T5" s="48" t="n">
        <v>3206313.513564448</v>
      </c>
      <c r="U5" s="48" t="n">
        <v>-2793686.486435552</v>
      </c>
      <c r="X5" s="138" t="n">
        <v>46326</v>
      </c>
      <c r="Y5" s="19" t="inlineStr">
        <is>
          <t>Oct-26</t>
        </is>
      </c>
      <c r="Z5" s="19" t="inlineStr">
        <is>
          <t>SMB</t>
        </is>
      </c>
      <c r="AA5" s="48" t="n">
        <v>292980.3828148831</v>
      </c>
      <c r="AB5" s="48" t="n">
        <v>137855.0827542115</v>
      </c>
      <c r="AC5" s="48" t="n">
        <v>119659.4463680192</v>
      </c>
      <c r="AD5" s="48" t="n">
        <v>0</v>
      </c>
      <c r="AE5" s="48" t="n">
        <v>0</v>
      </c>
      <c r="AF5" s="19" t="inlineStr">
        <is>
          <t>Pipeline</t>
        </is>
      </c>
      <c r="AH5" s="19" t="inlineStr">
        <is>
          <t>Total</t>
        </is>
      </c>
      <c r="AI5" s="48" t="n">
        <v>504</v>
      </c>
      <c r="AJ5" s="48" t="n">
        <v>1475</v>
      </c>
      <c r="AK5" s="25" t="n">
        <v>0.2546740778170793</v>
      </c>
      <c r="AL5" s="57" t="n">
        <v>3.926587301587301</v>
      </c>
      <c r="AM5" s="58" t="n">
        <v>31</v>
      </c>
      <c r="AN5" s="58" t="n">
        <v>41.99603174603175</v>
      </c>
      <c r="AP5" s="19" t="inlineStr">
        <is>
          <t>Blended</t>
        </is>
      </c>
      <c r="AQ5" s="48" t="n">
        <v>232</v>
      </c>
      <c r="AR5" s="48" t="n">
        <v>5291451.48</v>
      </c>
      <c r="AS5" s="48" t="n">
        <v>8430069.304942608</v>
      </c>
      <c r="AT5" s="25" t="n">
        <v>0.7640622998472391</v>
      </c>
      <c r="AU5" s="48" t="n">
        <v>22807.98051724138</v>
      </c>
      <c r="AV5" s="48" t="n">
        <v>36336.50562475262</v>
      </c>
      <c r="AW5" s="57" t="n">
        <v>1.641742951078416</v>
      </c>
      <c r="AX5" s="118" t="n">
        <v>25.02123843824934</v>
      </c>
      <c r="AZ5" s="19" t="inlineStr">
        <is>
          <t>2025Q1</t>
        </is>
      </c>
      <c r="BA5" s="48" t="n">
        <v>1319132.04</v>
      </c>
      <c r="BB5" s="48" t="n">
        <v>3375347.06</v>
      </c>
      <c r="BC5" s="63" t="n">
        <v>0.3908137493867075</v>
      </c>
      <c r="BD5" s="63" t="n">
        <v>0.5600334206817831</v>
      </c>
      <c r="BF5" s="19" t="inlineStr">
        <is>
          <t>2026Q3</t>
        </is>
      </c>
      <c r="BG5" s="19" t="inlineStr">
        <is>
          <t>Expansion</t>
        </is>
      </c>
      <c r="BH5" s="48" t="n">
        <v>34</v>
      </c>
      <c r="BI5" s="48" t="n">
        <v>622543.0499999999</v>
      </c>
      <c r="BJ5" s="48" t="n">
        <v>207136.6285</v>
      </c>
    </row>
    <row r="6">
      <c r="X6" s="138" t="n">
        <v>46356</v>
      </c>
      <c r="Y6" s="19" t="inlineStr">
        <is>
          <t>Nov-26</t>
        </is>
      </c>
      <c r="Z6" s="19" t="inlineStr">
        <is>
          <t>SMB</t>
        </is>
      </c>
      <c r="AA6" s="48" t="n">
        <v>301026.4383361107</v>
      </c>
      <c r="AB6" s="48" t="n">
        <v>141640.9664337501</v>
      </c>
      <c r="AC6" s="48" t="n">
        <v>122945.6273056855</v>
      </c>
      <c r="AD6" s="48" t="n">
        <v>123412.5020185862</v>
      </c>
      <c r="AE6" s="48" t="n">
        <v>122945.6273056855</v>
      </c>
      <c r="AF6" s="19" t="inlineStr">
        <is>
          <t>Capacity</t>
        </is>
      </c>
      <c r="AZ6" s="19" t="inlineStr">
        <is>
          <t>2025Q2</t>
        </is>
      </c>
      <c r="BA6" s="48" t="n">
        <v>1323441.48</v>
      </c>
      <c r="BB6" s="48" t="n">
        <v>3410032.14</v>
      </c>
      <c r="BC6" s="63" t="n">
        <v>0.3881023479151138</v>
      </c>
      <c r="BD6" s="63" t="n">
        <v>0.457467019651023</v>
      </c>
      <c r="BF6" s="19" t="inlineStr">
        <is>
          <t>2026Q3</t>
        </is>
      </c>
      <c r="BG6" s="19" t="inlineStr">
        <is>
          <t>New Logo</t>
        </is>
      </c>
      <c r="BH6" s="48" t="n">
        <v>86</v>
      </c>
      <c r="BI6" s="48" t="n">
        <v>2886552.89</v>
      </c>
      <c r="BJ6" s="48" t="n">
        <v>987046.929</v>
      </c>
    </row>
    <row r="7">
      <c r="X7" s="138" t="n">
        <v>46387</v>
      </c>
      <c r="Y7" s="19" t="inlineStr">
        <is>
          <t>Dec-26</t>
        </is>
      </c>
      <c r="Z7" s="19" t="inlineStr">
        <is>
          <t>SMB</t>
        </is>
      </c>
      <c r="AA7" s="48" t="n">
        <v>309234.4869554099</v>
      </c>
      <c r="AB7" s="48" t="n">
        <v>145503.072185653</v>
      </c>
      <c r="AC7" s="48" t="n">
        <v>126297.9696847577</v>
      </c>
      <c r="AD7" s="48" t="n">
        <v>123412.5020185862</v>
      </c>
      <c r="AE7" s="48" t="n">
        <v>123412.5020185862</v>
      </c>
      <c r="AF7" s="19" t="inlineStr">
        <is>
          <t>Pipeline</t>
        </is>
      </c>
      <c r="AZ7" s="19" t="inlineStr">
        <is>
          <t>2025Q3</t>
        </is>
      </c>
      <c r="BA7" s="48" t="n">
        <v>980600.4</v>
      </c>
      <c r="BB7" s="48" t="n">
        <v>3567989.63</v>
      </c>
      <c r="BC7" s="63" t="n">
        <v>0.2748327494438374</v>
      </c>
      <c r="BD7" s="63" t="n">
        <v>0.3395122759927976</v>
      </c>
      <c r="BF7" s="19" t="inlineStr">
        <is>
          <t>2026Q3</t>
        </is>
      </c>
      <c r="BG7" s="19" t="inlineStr">
        <is>
          <t>Renewal Uplift</t>
        </is>
      </c>
      <c r="BH7" s="48" t="n">
        <v>12</v>
      </c>
      <c r="BI7" s="48" t="n">
        <v>48981.29</v>
      </c>
      <c r="BJ7" s="48" t="n">
        <v>14146.0925</v>
      </c>
    </row>
    <row r="8">
      <c r="X8" s="138" t="n">
        <v>46234</v>
      </c>
      <c r="Y8" s="19" t="inlineStr">
        <is>
          <t>Jul-26</t>
        </is>
      </c>
      <c r="Z8" s="19" t="inlineStr">
        <is>
          <t>Mid-Market</t>
        </is>
      </c>
      <c r="AA8" s="48" t="n">
        <v>568878.3909871241</v>
      </c>
      <c r="AB8" s="48" t="n">
        <v>438751.8557030386</v>
      </c>
      <c r="AC8" s="48" t="n">
        <v>181984.7401385386</v>
      </c>
      <c r="AD8" s="48" t="n">
        <v>198490.6289855072</v>
      </c>
      <c r="AE8" s="48" t="n">
        <v>181984.7401385386</v>
      </c>
      <c r="AF8" s="19" t="inlineStr">
        <is>
          <t>Capacity</t>
        </is>
      </c>
      <c r="AZ8" s="19" t="inlineStr">
        <is>
          <t>2025Q4</t>
        </is>
      </c>
      <c r="BA8" s="48" t="n">
        <v>2070944.52</v>
      </c>
      <c r="BB8" s="48" t="n">
        <v>3491615.59</v>
      </c>
      <c r="BC8" s="63" t="n">
        <v>0.5931192786317008</v>
      </c>
      <c r="BD8" s="63" t="n">
        <v>0.3516492948182763</v>
      </c>
      <c r="BF8" s="19" t="inlineStr">
        <is>
          <t>2026Q4</t>
        </is>
      </c>
      <c r="BG8" s="19" t="inlineStr">
        <is>
          <t>New Logo</t>
        </is>
      </c>
      <c r="BH8" s="48" t="n">
        <v>2</v>
      </c>
      <c r="BI8" s="48" t="n">
        <v>63251.74000000001</v>
      </c>
      <c r="BJ8" s="48" t="n">
        <v>18910.2535</v>
      </c>
    </row>
    <row r="9">
      <c r="X9" s="138" t="n">
        <v>46265</v>
      </c>
      <c r="Y9" s="19" t="inlineStr">
        <is>
          <t>Aug-26</t>
        </is>
      </c>
      <c r="Z9" s="19" t="inlineStr">
        <is>
          <t>Mid-Market</t>
        </is>
      </c>
      <c r="AA9" s="48" t="n">
        <v>554781.6406835988</v>
      </c>
      <c r="AB9" s="48" t="n">
        <v>427879.6280827878</v>
      </c>
      <c r="AC9" s="48" t="n">
        <v>177475.1762643802</v>
      </c>
      <c r="AD9" s="48" t="n">
        <v>29156.92768115942</v>
      </c>
      <c r="AE9" s="48" t="n">
        <v>29156.92768115942</v>
      </c>
      <c r="AF9" s="19" t="inlineStr">
        <is>
          <t>Pipeline</t>
        </is>
      </c>
      <c r="AZ9" s="19" t="inlineStr">
        <is>
          <t>2026Q1</t>
        </is>
      </c>
      <c r="BA9" s="48" t="n">
        <v>648113.52</v>
      </c>
      <c r="BB9" s="48" t="n">
        <v>3675562.72</v>
      </c>
      <c r="BC9" s="63" t="n">
        <v>0.1763304205022517</v>
      </c>
      <c r="BD9" s="63" t="n">
        <v>0.4418127845196993</v>
      </c>
    </row>
    <row r="10">
      <c r="X10" s="138" t="n">
        <v>46295</v>
      </c>
      <c r="Y10" s="19" t="inlineStr">
        <is>
          <t>Sep-26</t>
        </is>
      </c>
      <c r="Z10" s="19" t="inlineStr">
        <is>
          <t>Mid-Market</t>
        </is>
      </c>
      <c r="AA10" s="48" t="n">
        <v>582700.8731260081</v>
      </c>
      <c r="AB10" s="48" t="n">
        <v>449412.551881591</v>
      </c>
      <c r="AC10" s="48" t="n">
        <v>186406.5653651033</v>
      </c>
      <c r="AD10" s="48" t="n">
        <v>10415.98618357488</v>
      </c>
      <c r="AE10" s="48" t="n">
        <v>10415.98618357488</v>
      </c>
      <c r="AF10" s="19" t="inlineStr">
        <is>
          <t>Pipeline</t>
        </is>
      </c>
      <c r="AZ10" s="19" t="inlineStr">
        <is>
          <t>2026Q2</t>
        </is>
      </c>
      <c r="BA10" s="48" t="n">
        <v>2179290.96</v>
      </c>
      <c r="BB10" s="48" t="n">
        <v>3406792.18</v>
      </c>
      <c r="BC10" s="63" t="n">
        <v>0.6396900206574971</v>
      </c>
      <c r="BD10" s="63" t="n">
        <v>0.3427726078671461</v>
      </c>
    </row>
    <row r="11">
      <c r="X11" s="138" t="n">
        <v>46326</v>
      </c>
      <c r="Y11" s="19" t="inlineStr">
        <is>
          <t>Oct-26</t>
        </is>
      </c>
      <c r="Z11" s="19" t="inlineStr">
        <is>
          <t>Mid-Market</t>
        </is>
      </c>
      <c r="AA11" s="48" t="n">
        <v>610960.7656297662</v>
      </c>
      <c r="AB11" s="48" t="n">
        <v>471208.2123855473</v>
      </c>
      <c r="AC11" s="48" t="n">
        <v>195446.9319445325</v>
      </c>
      <c r="AD11" s="48" t="n">
        <v>11305.86657004831</v>
      </c>
      <c r="AE11" s="48" t="n">
        <v>11305.86657004831</v>
      </c>
      <c r="AF11" s="19" t="inlineStr">
        <is>
          <t>Pipeline</t>
        </is>
      </c>
    </row>
    <row r="12">
      <c r="X12" s="138" t="n">
        <v>46356</v>
      </c>
      <c r="Y12" s="19" t="inlineStr">
        <is>
          <t>Nov-26</t>
        </is>
      </c>
      <c r="Z12" s="19" t="inlineStr">
        <is>
          <t>Mid-Market</t>
        </is>
      </c>
      <c r="AA12" s="48" t="n">
        <v>639552.8766722211</v>
      </c>
      <c r="AB12" s="48" t="n">
        <v>493260.0990050698</v>
      </c>
      <c r="AC12" s="48" t="n">
        <v>204593.575551516</v>
      </c>
      <c r="AD12" s="48" t="n">
        <v>142464.2615338164</v>
      </c>
      <c r="AE12" s="48" t="n">
        <v>142464.2615338164</v>
      </c>
      <c r="AF12" s="19" t="inlineStr">
        <is>
          <t>Pipeline</t>
        </is>
      </c>
    </row>
    <row r="13">
      <c r="X13" s="138" t="n">
        <v>46387</v>
      </c>
      <c r="Y13" s="19" t="inlineStr">
        <is>
          <t>Dec-26</t>
        </is>
      </c>
      <c r="Z13" s="19" t="inlineStr">
        <is>
          <t>Mid-Market</t>
        </is>
      </c>
      <c r="AA13" s="48" t="n">
        <v>668468.9739108199</v>
      </c>
      <c r="AB13" s="48" t="n">
        <v>515561.8624823397</v>
      </c>
      <c r="AC13" s="48" t="n">
        <v>213843.8626518151</v>
      </c>
      <c r="AD13" s="48" t="n">
        <v>142464.2615338164</v>
      </c>
      <c r="AE13" s="48" t="n">
        <v>142464.2615338164</v>
      </c>
      <c r="AF13" s="19" t="inlineStr">
        <is>
          <t>Pipeline</t>
        </is>
      </c>
    </row>
    <row r="14">
      <c r="X14" s="138" t="n">
        <v>46234</v>
      </c>
      <c r="Y14" s="19" t="inlineStr">
        <is>
          <t>Jul-26</t>
        </is>
      </c>
      <c r="Z14" s="19" t="inlineStr">
        <is>
          <t>Enterprise</t>
        </is>
      </c>
      <c r="AA14" s="48" t="n">
        <v>409592.4415107294</v>
      </c>
      <c r="AB14" s="48" t="n">
        <v>234344.0904058164</v>
      </c>
      <c r="AC14" s="48" t="n">
        <v>134458.1246536803</v>
      </c>
      <c r="AD14" s="48" t="n">
        <v>81568.06</v>
      </c>
      <c r="AE14" s="48" t="n">
        <v>81568.06</v>
      </c>
      <c r="AF14" s="19" t="inlineStr">
        <is>
          <t>Pipeline</t>
        </is>
      </c>
    </row>
    <row r="15">
      <c r="X15" s="138" t="n">
        <v>46265</v>
      </c>
      <c r="Y15" s="19" t="inlineStr">
        <is>
          <t>Aug-26</t>
        </is>
      </c>
      <c r="Z15" s="19" t="inlineStr">
        <is>
          <t>Enterprise</t>
        </is>
      </c>
      <c r="AA15" s="48" t="n">
        <v>427181.8633263711</v>
      </c>
      <c r="AB15" s="48" t="n">
        <v>244407.696660237</v>
      </c>
      <c r="AC15" s="48" t="n">
        <v>140232.256281575</v>
      </c>
      <c r="AD15" s="48" t="n">
        <v>46131.0475</v>
      </c>
      <c r="AE15" s="48" t="n">
        <v>46131.0475</v>
      </c>
      <c r="AF15" s="19" t="inlineStr">
        <is>
          <t>Pipeline</t>
        </is>
      </c>
    </row>
    <row r="16">
      <c r="X16" s="138" t="n">
        <v>46295</v>
      </c>
      <c r="Y16" s="19" t="inlineStr">
        <is>
          <t>Sep-26</t>
        </is>
      </c>
      <c r="Z16" s="19" t="inlineStr">
        <is>
          <t>Enterprise</t>
        </is>
      </c>
      <c r="AA16" s="48" t="n">
        <v>485327.3651674733</v>
      </c>
      <c r="AB16" s="48" t="n">
        <v>277675.0457594657</v>
      </c>
      <c r="AC16" s="48" t="n">
        <v>159319.8524924952</v>
      </c>
      <c r="AD16" s="48" t="n">
        <v>0</v>
      </c>
      <c r="AE16" s="48" t="n">
        <v>0</v>
      </c>
      <c r="AF16" s="19" t="inlineStr">
        <is>
          <t>Pipeline</t>
        </is>
      </c>
    </row>
    <row r="17">
      <c r="X17" s="138" t="n">
        <v>46326</v>
      </c>
      <c r="Y17" s="19" t="inlineStr">
        <is>
          <t>Oct-26</t>
        </is>
      </c>
      <c r="Z17" s="19" t="inlineStr">
        <is>
          <t>Enterprise</t>
        </is>
      </c>
      <c r="AA17" s="48" t="n">
        <v>544601.9458371461</v>
      </c>
      <c r="AB17" s="48" t="n">
        <v>311588.3856638516</v>
      </c>
      <c r="AC17" s="48" t="n">
        <v>178778.0947566379</v>
      </c>
      <c r="AD17" s="48" t="n">
        <v>0</v>
      </c>
      <c r="AE17" s="48" t="n">
        <v>0</v>
      </c>
      <c r="AF17" s="19" t="inlineStr">
        <is>
          <t>Pipeline</t>
        </is>
      </c>
    </row>
    <row r="18">
      <c r="X18" s="138" t="n">
        <v>46356</v>
      </c>
      <c r="Y18" s="19" t="inlineStr">
        <is>
          <t>Nov-26</t>
        </is>
      </c>
      <c r="Z18" s="19" t="inlineStr">
        <is>
          <t>Enterprise</t>
        </is>
      </c>
      <c r="AA18" s="48" t="n">
        <v>621642.3013377771</v>
      </c>
      <c r="AB18" s="48" t="n">
        <v>355666.2303812648</v>
      </c>
      <c r="AC18" s="48" t="n">
        <v>204068.3605756578</v>
      </c>
      <c r="AD18" s="48" t="n">
        <v>85554.3865625</v>
      </c>
      <c r="AE18" s="48" t="n">
        <v>85554.3865625</v>
      </c>
      <c r="AF18" s="19" t="inlineStr">
        <is>
          <t>Pipeline</t>
        </is>
      </c>
    </row>
    <row r="19">
      <c r="X19" s="138" t="n">
        <v>46387</v>
      </c>
      <c r="Y19" s="19" t="inlineStr">
        <is>
          <t>Dec-26</t>
        </is>
      </c>
      <c r="Z19" s="19" t="inlineStr">
        <is>
          <t>Enterprise</t>
        </is>
      </c>
      <c r="AA19" s="48" t="n">
        <v>698941.8457953226</v>
      </c>
      <c r="AB19" s="48" t="n">
        <v>399892.3673868056</v>
      </c>
      <c r="AC19" s="48" t="n">
        <v>229443.7111217032</v>
      </c>
      <c r="AD19" s="48" t="n">
        <v>85554.3865625</v>
      </c>
      <c r="AE19" s="48" t="n">
        <v>85554.3865625</v>
      </c>
      <c r="AF19" s="19" t="inlineStr">
        <is>
          <t>Pipeline</t>
        </is>
      </c>
    </row>
  </sheetData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7" customWidth="1" min="5" max="5"/>
    <col width="18" customWidth="1" min="6" max="6"/>
    <col width="16" customWidth="1" min="7" max="7"/>
    <col width="15" customWidth="1" min="8" max="8"/>
    <col width="17" customWidth="1" min="9" max="9"/>
    <col width="12" customWidth="1" min="10" max="10"/>
    <col width="18" customWidth="1" min="13" max="13"/>
    <col width="15" customWidth="1" min="14" max="14"/>
    <col width="15" customWidth="1" min="15" max="15"/>
    <col width="24" customWidth="1" min="16" max="16"/>
    <col width="20" customWidth="1" min="17" max="17"/>
    <col width="17" customWidth="1" min="18" max="18"/>
    <col width="21" customWidth="1" min="19" max="19"/>
    <col width="17" customWidth="1" min="20" max="20"/>
    <col width="14" customWidth="1" min="21" max="21"/>
    <col width="16" customWidth="1" min="22" max="22"/>
    <col width="20" customWidth="1" min="23" max="23"/>
    <col width="19" customWidth="1" min="24" max="24"/>
    <col width="24" customWidth="1" min="25" max="25"/>
    <col width="26" customWidth="1" min="26" max="26"/>
    <col width="14" customWidth="1" min="27" max="27"/>
    <col width="20" customWidth="1" min="28" max="28"/>
    <col width="24" customWidth="1" min="29" max="29"/>
    <col width="12" customWidth="1" min="31" max="31"/>
    <col width="20" customWidth="1" min="32" max="32"/>
  </cols>
  <sheetData>
    <row r="1">
      <c r="A1" s="137" t="inlineStr">
        <is>
          <t>line_key</t>
        </is>
      </c>
      <c r="B1" s="136" t="inlineStr">
        <is>
          <t>line_item</t>
        </is>
      </c>
      <c r="C1" s="136" t="inlineStr">
        <is>
          <t>line_kind</t>
        </is>
      </c>
      <c r="D1" s="136" t="inlineStr">
        <is>
          <t>unit</t>
        </is>
      </c>
      <c r="E1" s="136" t="inlineStr">
        <is>
          <t>fy2025_actual</t>
        </is>
      </c>
      <c r="F1" s="136" t="inlineStr">
        <is>
          <t>h1_2026_actual</t>
        </is>
      </c>
      <c r="G1" s="136" t="inlineStr">
        <is>
          <t>h2_2026_base</t>
        </is>
      </c>
      <c r="H1" s="136" t="inlineStr">
        <is>
          <t>fy2026_base</t>
        </is>
      </c>
      <c r="I1" s="136" t="inlineStr">
        <is>
          <t>fy2026_budget</t>
        </is>
      </c>
      <c r="J1" s="136" t="inlineStr">
        <is>
          <t>polarity</t>
        </is>
      </c>
      <c r="M1" s="136" t="inlineStr">
        <is>
          <t>month_end_date</t>
        </is>
      </c>
      <c r="N1" s="136" t="inlineStr">
        <is>
          <t>month_label</t>
        </is>
      </c>
      <c r="O1" s="136" t="inlineStr">
        <is>
          <t>period_type</t>
        </is>
      </c>
      <c r="P1" s="136" t="inlineStr">
        <is>
          <t>subscription_revenue</t>
        </is>
      </c>
      <c r="Q1" s="136" t="inlineStr">
        <is>
          <t>services_revenue</t>
        </is>
      </c>
      <c r="R1" s="136" t="inlineStr">
        <is>
          <t>total_revenue</t>
        </is>
      </c>
      <c r="S1" s="136" t="inlineStr">
        <is>
          <t>subscription_cogs</t>
        </is>
      </c>
      <c r="T1" s="136" t="inlineStr">
        <is>
          <t>services_cogs</t>
        </is>
      </c>
      <c r="U1" s="136" t="inlineStr">
        <is>
          <t>total_cogs</t>
        </is>
      </c>
      <c r="V1" s="136" t="inlineStr">
        <is>
          <t>gross_profit</t>
        </is>
      </c>
      <c r="W1" s="136" t="inlineStr">
        <is>
          <t>gross_margin_pct</t>
        </is>
      </c>
      <c r="X1" s="136" t="inlineStr">
        <is>
          <t>sales_marketing</t>
        </is>
      </c>
      <c r="Y1" s="136" t="inlineStr">
        <is>
          <t>research_development</t>
        </is>
      </c>
      <c r="Z1" s="136" t="inlineStr">
        <is>
          <t>general_administrative</t>
        </is>
      </c>
      <c r="AA1" s="136" t="inlineStr">
        <is>
          <t>total_opex</t>
        </is>
      </c>
      <c r="AB1" s="136" t="inlineStr">
        <is>
          <t>operating_income</t>
        </is>
      </c>
      <c r="AC1" s="136" t="inlineStr">
        <is>
          <t>operating_margin_pct</t>
        </is>
      </c>
      <c r="AE1" s="136" t="inlineStr">
        <is>
          <t>function</t>
        </is>
      </c>
      <c r="AF1" s="136" t="inlineStr">
        <is>
          <t>ending_headcount</t>
        </is>
      </c>
    </row>
    <row r="2">
      <c r="A2" s="19" t="inlineStr">
        <is>
          <t>subscription_revenue</t>
        </is>
      </c>
      <c r="B2" s="19" t="inlineStr">
        <is>
          <t>Subscription Revenue</t>
        </is>
      </c>
      <c r="C2" s="19" t="inlineStr">
        <is>
          <t>detail</t>
        </is>
      </c>
      <c r="D2" s="19" t="inlineStr">
        <is>
          <t>usd</t>
        </is>
      </c>
      <c r="E2" s="124" t="n">
        <v>26597200.51</v>
      </c>
      <c r="F2" s="124" t="n">
        <v>15360769.6</v>
      </c>
      <c r="G2" s="124" t="n">
        <v>16919867.99875082</v>
      </c>
      <c r="H2" s="124" t="n">
        <v>32280637.59875083</v>
      </c>
      <c r="I2" s="124" t="n">
        <v>32705653.67</v>
      </c>
      <c r="J2" s="19" t="inlineStr">
        <is>
          <t>higher_favorable</t>
        </is>
      </c>
      <c r="M2" s="138" t="n">
        <v>45688</v>
      </c>
      <c r="N2" s="19" t="inlineStr">
        <is>
          <t>Jan-25</t>
        </is>
      </c>
      <c r="O2" s="19" t="inlineStr">
        <is>
          <t>Actual</t>
        </is>
      </c>
      <c r="P2" s="48" t="n">
        <v>1996693.19</v>
      </c>
      <c r="Q2" s="48" t="n">
        <v>87337.41</v>
      </c>
      <c r="R2" s="48" t="n">
        <v>2084030.6</v>
      </c>
      <c r="S2" s="48" t="n">
        <v>430866.15</v>
      </c>
      <c r="T2" s="48" t="n">
        <v>51131.38</v>
      </c>
      <c r="U2" s="48" t="n">
        <v>481997.53</v>
      </c>
      <c r="V2" s="48" t="n">
        <v>1602033.07</v>
      </c>
      <c r="W2" s="25" t="n">
        <v>0.7687185927116424</v>
      </c>
      <c r="X2" s="48" t="n">
        <v>1096480.65</v>
      </c>
      <c r="Y2" s="48" t="n">
        <v>714081.25</v>
      </c>
      <c r="Z2" s="48" t="n">
        <v>350148.31</v>
      </c>
      <c r="AA2" s="48" t="n">
        <v>2160710.21</v>
      </c>
      <c r="AB2" s="48" t="n">
        <v>-558677.1400000001</v>
      </c>
      <c r="AC2" s="25" t="n">
        <v>-0.2680753056121153</v>
      </c>
      <c r="AE2" s="19" t="inlineStr">
        <is>
          <t>Customer Success</t>
        </is>
      </c>
      <c r="AF2" s="28" t="n">
        <v>27.36101116252248</v>
      </c>
    </row>
    <row r="3">
      <c r="A3" s="19" t="inlineStr">
        <is>
          <t>services_revenue</t>
        </is>
      </c>
      <c r="B3" s="19" t="inlineStr">
        <is>
          <t>Services Revenue</t>
        </is>
      </c>
      <c r="C3" s="19" t="inlineStr">
        <is>
          <t>detail</t>
        </is>
      </c>
      <c r="D3" s="19" t="inlineStr">
        <is>
          <t>usd</t>
        </is>
      </c>
      <c r="E3" s="124" t="n">
        <v>802574.54</v>
      </c>
      <c r="F3" s="124" t="n">
        <v>334564.46</v>
      </c>
      <c r="G3" s="124" t="n">
        <v>175768.1929005524</v>
      </c>
      <c r="H3" s="124" t="n">
        <v>510332.6529005524</v>
      </c>
      <c r="I3" s="124" t="n">
        <v>926973.59</v>
      </c>
      <c r="J3" s="19" t="inlineStr">
        <is>
          <t>higher_favorable</t>
        </is>
      </c>
      <c r="M3" s="138" t="n">
        <v>45716</v>
      </c>
      <c r="N3" s="19" t="inlineStr">
        <is>
          <t>Feb-25</t>
        </is>
      </c>
      <c r="O3" s="19" t="inlineStr">
        <is>
          <t>Actual</t>
        </is>
      </c>
      <c r="P3" s="48" t="n">
        <v>2049863.92</v>
      </c>
      <c r="Q3" s="48" t="n">
        <v>86601.89999999999</v>
      </c>
      <c r="R3" s="48" t="n">
        <v>2136465.82</v>
      </c>
      <c r="S3" s="48" t="n">
        <v>434260.77</v>
      </c>
      <c r="T3" s="48" t="n">
        <v>50155.63</v>
      </c>
      <c r="U3" s="48" t="n">
        <v>484416.4</v>
      </c>
      <c r="V3" s="48" t="n">
        <v>1652049.42</v>
      </c>
      <c r="W3" s="25" t="n">
        <v>0.7732627428600753</v>
      </c>
      <c r="X3" s="48" t="n">
        <v>1134606.79</v>
      </c>
      <c r="Y3" s="48" t="n">
        <v>744423.13</v>
      </c>
      <c r="Z3" s="48" t="n">
        <v>418982.17</v>
      </c>
      <c r="AA3" s="48" t="n">
        <v>2298012.09</v>
      </c>
      <c r="AB3" s="48" t="n">
        <v>-645962.6699999999</v>
      </c>
      <c r="AC3" s="25" t="n">
        <v>-0.3023510434629841</v>
      </c>
      <c r="AE3" s="19" t="inlineStr">
        <is>
          <t>Engineering</t>
        </is>
      </c>
      <c r="AF3" s="28" t="n">
        <v>54.22212877392457</v>
      </c>
    </row>
    <row r="4">
      <c r="A4" s="19" t="inlineStr">
        <is>
          <t>total_revenue</t>
        </is>
      </c>
      <c r="B4" s="19" t="inlineStr">
        <is>
          <t>Total Revenue</t>
        </is>
      </c>
      <c r="C4" s="19" t="inlineStr">
        <is>
          <t>subtotal</t>
        </is>
      </c>
      <c r="D4" s="19" t="inlineStr">
        <is>
          <t>usd</t>
        </is>
      </c>
      <c r="E4" s="124" t="n">
        <v>27399775.05</v>
      </c>
      <c r="F4" s="124" t="n">
        <v>15695334.06</v>
      </c>
      <c r="G4" s="124" t="n">
        <v>17095636.19165137</v>
      </c>
      <c r="H4" s="124" t="n">
        <v>32790970.25165137</v>
      </c>
      <c r="I4" s="124" t="n">
        <v>33632627.26</v>
      </c>
      <c r="J4" s="19" t="inlineStr">
        <is>
          <t>higher_favorable</t>
        </is>
      </c>
      <c r="M4" s="138" t="n">
        <v>45747</v>
      </c>
      <c r="N4" s="19" t="inlineStr">
        <is>
          <t>Mar-25</t>
        </is>
      </c>
      <c r="O4" s="19" t="inlineStr">
        <is>
          <t>Actual</t>
        </is>
      </c>
      <c r="P4" s="48" t="n">
        <v>2082086.24</v>
      </c>
      <c r="Q4" s="48" t="n">
        <v>73525.07000000001</v>
      </c>
      <c r="R4" s="48" t="n">
        <v>2155611.31</v>
      </c>
      <c r="S4" s="48" t="n">
        <v>470723.59</v>
      </c>
      <c r="T4" s="48" t="n">
        <v>50919.56</v>
      </c>
      <c r="U4" s="48" t="n">
        <v>521643.15</v>
      </c>
      <c r="V4" s="48" t="n">
        <v>1633968.16</v>
      </c>
      <c r="W4" s="25" t="n">
        <v>0.7580068597803005</v>
      </c>
      <c r="X4" s="48" t="n">
        <v>1178944.7</v>
      </c>
      <c r="Y4" s="48" t="n">
        <v>719937.97</v>
      </c>
      <c r="Z4" s="48" t="n">
        <v>486344.39</v>
      </c>
      <c r="AA4" s="48" t="n">
        <v>2385227.06</v>
      </c>
      <c r="AB4" s="48" t="n">
        <v>-751258.8999999999</v>
      </c>
      <c r="AC4" s="25" t="n">
        <v>-0.3485131556486405</v>
      </c>
      <c r="AE4" s="19" t="inlineStr">
        <is>
          <t>G&amp;A</t>
        </is>
      </c>
      <c r="AF4" s="28" t="n">
        <v>21.73621118041712</v>
      </c>
    </row>
    <row r="5">
      <c r="A5" s="19" t="inlineStr">
        <is>
          <t>subscription_cogs</t>
        </is>
      </c>
      <c r="B5" s="19" t="inlineStr">
        <is>
          <t>Subscription COGS</t>
        </is>
      </c>
      <c r="C5" s="19" t="inlineStr">
        <is>
          <t>detail</t>
        </is>
      </c>
      <c r="D5" s="19" t="inlineStr">
        <is>
          <t>usd</t>
        </is>
      </c>
      <c r="E5" s="124" t="n">
        <v>5756105.199999999</v>
      </c>
      <c r="F5" s="124" t="n">
        <v>3039916.5</v>
      </c>
      <c r="G5" s="124" t="n">
        <v>3235266.829799892</v>
      </c>
      <c r="H5" s="124" t="n">
        <v>6275183.329799893</v>
      </c>
      <c r="I5" s="124" t="n">
        <v>7935959.96</v>
      </c>
      <c r="J5" s="19" t="inlineStr">
        <is>
          <t>lower_favorable</t>
        </is>
      </c>
      <c r="M5" s="138" t="n">
        <v>45777</v>
      </c>
      <c r="N5" s="19" t="inlineStr">
        <is>
          <t>Apr-25</t>
        </is>
      </c>
      <c r="O5" s="19" t="inlineStr">
        <is>
          <t>Actual</t>
        </is>
      </c>
      <c r="P5" s="48" t="n">
        <v>2129369.35</v>
      </c>
      <c r="Q5" s="48" t="n">
        <v>67875.39999999999</v>
      </c>
      <c r="R5" s="48" t="n">
        <v>2197244.75</v>
      </c>
      <c r="S5" s="48" t="n">
        <v>477560.96</v>
      </c>
      <c r="T5" s="48" t="n">
        <v>50626.12</v>
      </c>
      <c r="U5" s="48" t="n">
        <v>528187.0800000001</v>
      </c>
      <c r="V5" s="48" t="n">
        <v>1669057.67</v>
      </c>
      <c r="W5" s="25" t="n">
        <v>0.7596139073719484</v>
      </c>
      <c r="X5" s="48" t="n">
        <v>1210305.74</v>
      </c>
      <c r="Y5" s="48" t="n">
        <v>747789.87</v>
      </c>
      <c r="Z5" s="48" t="n">
        <v>497653.45</v>
      </c>
      <c r="AA5" s="48" t="n">
        <v>2455749.06</v>
      </c>
      <c r="AB5" s="48" t="n">
        <v>-786691.3900000001</v>
      </c>
      <c r="AC5" s="25" t="n">
        <v>-0.3580353940998153</v>
      </c>
      <c r="AE5" s="19" t="inlineStr">
        <is>
          <t>Marketing</t>
        </is>
      </c>
      <c r="AF5" s="28" t="n">
        <v>18.58465825323012</v>
      </c>
    </row>
    <row r="6">
      <c r="A6" s="19" t="inlineStr">
        <is>
          <t>services_cogs</t>
        </is>
      </c>
      <c r="B6" s="19" t="inlineStr">
        <is>
          <t>Services COGS</t>
        </is>
      </c>
      <c r="C6" s="19" t="inlineStr">
        <is>
          <t>detail</t>
        </is>
      </c>
      <c r="D6" s="19" t="inlineStr">
        <is>
          <t>usd</t>
        </is>
      </c>
      <c r="E6" s="124" t="n">
        <v>708534.71</v>
      </c>
      <c r="F6" s="124" t="n">
        <v>404304.06</v>
      </c>
      <c r="G6" s="124" t="n">
        <v>416710.8857358223</v>
      </c>
      <c r="H6" s="124" t="n">
        <v>821014.9457358222</v>
      </c>
      <c r="I6" s="124" t="n">
        <v>785224.35</v>
      </c>
      <c r="J6" s="19" t="inlineStr">
        <is>
          <t>lower_favorable</t>
        </is>
      </c>
      <c r="M6" s="138" t="n">
        <v>45808</v>
      </c>
      <c r="N6" s="19" t="inlineStr">
        <is>
          <t>May-25</t>
        </is>
      </c>
      <c r="O6" s="19" t="inlineStr">
        <is>
          <t>Actual</t>
        </is>
      </c>
      <c r="P6" s="48" t="n">
        <v>2179396.31</v>
      </c>
      <c r="Q6" s="48" t="n">
        <v>63119</v>
      </c>
      <c r="R6" s="48" t="n">
        <v>2242515.31</v>
      </c>
      <c r="S6" s="48" t="n">
        <v>474228.27</v>
      </c>
      <c r="T6" s="48" t="n">
        <v>59965.61</v>
      </c>
      <c r="U6" s="48" t="n">
        <v>534193.88</v>
      </c>
      <c r="V6" s="48" t="n">
        <v>1708321.43</v>
      </c>
      <c r="W6" s="25" t="n">
        <v>0.7617880789406963</v>
      </c>
      <c r="X6" s="48" t="n">
        <v>1179057.08</v>
      </c>
      <c r="Y6" s="48" t="n">
        <v>762072.84</v>
      </c>
      <c r="Z6" s="48" t="n">
        <v>412867.38</v>
      </c>
      <c r="AA6" s="48" t="n">
        <v>2353997.3</v>
      </c>
      <c r="AB6" s="48" t="n">
        <v>-645675.8699999996</v>
      </c>
      <c r="AC6" s="25" t="n">
        <v>-0.2879248436435422</v>
      </c>
      <c r="AE6" s="19" t="inlineStr">
        <is>
          <t>Product &amp; Design</t>
        </is>
      </c>
      <c r="AF6" s="28" t="n">
        <v>22.64817636207164</v>
      </c>
    </row>
    <row r="7">
      <c r="A7" s="19" t="inlineStr">
        <is>
          <t>total_cogs</t>
        </is>
      </c>
      <c r="B7" s="19" t="inlineStr">
        <is>
          <t>Total COGS</t>
        </is>
      </c>
      <c r="C7" s="19" t="inlineStr">
        <is>
          <t>subtotal</t>
        </is>
      </c>
      <c r="D7" s="19" t="inlineStr">
        <is>
          <t>usd</t>
        </is>
      </c>
      <c r="E7" s="124" t="n">
        <v>6464639.909999999</v>
      </c>
      <c r="F7" s="124" t="n">
        <v>3444220.56</v>
      </c>
      <c r="G7" s="124" t="n">
        <v>3651977.715535715</v>
      </c>
      <c r="H7" s="124" t="n">
        <v>7096198.275535715</v>
      </c>
      <c r="I7" s="124" t="n">
        <v>8721184.310000001</v>
      </c>
      <c r="J7" s="19" t="inlineStr">
        <is>
          <t>lower_favorable</t>
        </is>
      </c>
      <c r="M7" s="138" t="n">
        <v>45838</v>
      </c>
      <c r="N7" s="19" t="inlineStr">
        <is>
          <t>Jun-25</t>
        </is>
      </c>
      <c r="O7" s="19" t="inlineStr">
        <is>
          <t>Actual</t>
        </is>
      </c>
      <c r="P7" s="48" t="n">
        <v>2209872</v>
      </c>
      <c r="Q7" s="48" t="n">
        <v>59243.65</v>
      </c>
      <c r="R7" s="48" t="n">
        <v>2269115.65</v>
      </c>
      <c r="S7" s="48" t="n">
        <v>486841.87</v>
      </c>
      <c r="T7" s="48" t="n">
        <v>58961.59</v>
      </c>
      <c r="U7" s="48" t="n">
        <v>545803.46</v>
      </c>
      <c r="V7" s="48" t="n">
        <v>1723312.19</v>
      </c>
      <c r="W7" s="25" t="n">
        <v>0.759464238854463</v>
      </c>
      <c r="X7" s="48" t="n">
        <v>1178626.81</v>
      </c>
      <c r="Y7" s="48" t="n">
        <v>751289.38</v>
      </c>
      <c r="Z7" s="48" t="n">
        <v>387669.49</v>
      </c>
      <c r="AA7" s="48" t="n">
        <v>2317585.68</v>
      </c>
      <c r="AB7" s="48" t="n">
        <v>-594273.4899999998</v>
      </c>
      <c r="AC7" s="25" t="n">
        <v>-0.2618965190249337</v>
      </c>
      <c r="AE7" s="19" t="inlineStr">
        <is>
          <t>Professional Services</t>
        </is>
      </c>
      <c r="AF7" s="28" t="n">
        <v>7.84897445530306</v>
      </c>
    </row>
    <row r="8">
      <c r="A8" s="19" t="inlineStr">
        <is>
          <t>gross_profit</t>
        </is>
      </c>
      <c r="B8" s="19" t="inlineStr">
        <is>
          <t>Gross Profit</t>
        </is>
      </c>
      <c r="C8" s="19" t="inlineStr">
        <is>
          <t>total</t>
        </is>
      </c>
      <c r="D8" s="19" t="inlineStr">
        <is>
          <t>usd</t>
        </is>
      </c>
      <c r="E8" s="124" t="n">
        <v>20935135.14</v>
      </c>
      <c r="F8" s="124" t="n">
        <v>12251113.5</v>
      </c>
      <c r="G8" s="124" t="n">
        <v>13443658.47611566</v>
      </c>
      <c r="H8" s="124" t="n">
        <v>25694771.97611566</v>
      </c>
      <c r="I8" s="124" t="n">
        <v>24911442.95</v>
      </c>
      <c r="J8" s="19" t="inlineStr">
        <is>
          <t>higher_favorable</t>
        </is>
      </c>
      <c r="M8" s="138" t="n">
        <v>45869</v>
      </c>
      <c r="N8" s="19" t="inlineStr">
        <is>
          <t>Jul-25</t>
        </is>
      </c>
      <c r="O8" s="19" t="inlineStr">
        <is>
          <t>Actual</t>
        </is>
      </c>
      <c r="P8" s="48" t="n">
        <v>2240981.88</v>
      </c>
      <c r="Q8" s="48" t="n">
        <v>57452.67</v>
      </c>
      <c r="R8" s="48" t="n">
        <v>2298434.55</v>
      </c>
      <c r="S8" s="48" t="n">
        <v>482379.7</v>
      </c>
      <c r="T8" s="48" t="n">
        <v>62072.78</v>
      </c>
      <c r="U8" s="48" t="n">
        <v>544452.48</v>
      </c>
      <c r="V8" s="48" t="n">
        <v>1753982.07</v>
      </c>
      <c r="W8" s="25" t="n">
        <v>0.7631203029035567</v>
      </c>
      <c r="X8" s="48" t="n">
        <v>1137773.4</v>
      </c>
      <c r="Y8" s="48" t="n">
        <v>754504.33</v>
      </c>
      <c r="Z8" s="48" t="n">
        <v>412503.21</v>
      </c>
      <c r="AA8" s="48" t="n">
        <v>2304780.94</v>
      </c>
      <c r="AB8" s="48" t="n">
        <v>-550798.8700000001</v>
      </c>
      <c r="AC8" s="25" t="n">
        <v>-0.2396408764391399</v>
      </c>
      <c r="AE8" s="19" t="inlineStr">
        <is>
          <t>Sales</t>
        </is>
      </c>
      <c r="AF8" s="28" t="n">
        <v>48.60641775022006</v>
      </c>
    </row>
    <row r="9">
      <c r="A9" s="19" t="inlineStr">
        <is>
          <t>gross_margin_pct</t>
        </is>
      </c>
      <c r="B9" s="19" t="inlineStr">
        <is>
          <t>Gross Margin %</t>
        </is>
      </c>
      <c r="C9" s="19" t="inlineStr">
        <is>
          <t>margin</t>
        </is>
      </c>
      <c r="D9" s="19" t="inlineStr">
        <is>
          <t>pct</t>
        </is>
      </c>
      <c r="E9" s="124" t="n">
        <v>0.7640622998472389</v>
      </c>
      <c r="F9" s="124" t="n">
        <v>0.7805576774069631</v>
      </c>
      <c r="G9" s="124" t="n">
        <v>0.7863795371757415</v>
      </c>
      <c r="H9" s="124" t="n">
        <v>0.7835929153338078</v>
      </c>
      <c r="I9" s="124" t="n">
        <v>0.7406927433120193</v>
      </c>
      <c r="J9" s="19" t="inlineStr">
        <is>
          <t>higher_favorable</t>
        </is>
      </c>
      <c r="M9" s="138" t="n">
        <v>45900</v>
      </c>
      <c r="N9" s="19" t="inlineStr">
        <is>
          <t>Aug-25</t>
        </is>
      </c>
      <c r="O9" s="19" t="inlineStr">
        <is>
          <t>Actual</t>
        </is>
      </c>
      <c r="P9" s="48" t="n">
        <v>2276602.52</v>
      </c>
      <c r="Q9" s="48" t="n">
        <v>56599.48</v>
      </c>
      <c r="R9" s="48" t="n">
        <v>2333202</v>
      </c>
      <c r="S9" s="48" t="n">
        <v>476242.23</v>
      </c>
      <c r="T9" s="48" t="n">
        <v>62034.77</v>
      </c>
      <c r="U9" s="48" t="n">
        <v>538277</v>
      </c>
      <c r="V9" s="48" t="n">
        <v>1794925</v>
      </c>
      <c r="W9" s="25" t="n">
        <v>0.7692968718525014</v>
      </c>
      <c r="X9" s="48" t="n">
        <v>1136819.56</v>
      </c>
      <c r="Y9" s="48" t="n">
        <v>779830.22</v>
      </c>
      <c r="Z9" s="48" t="n">
        <v>421518.29</v>
      </c>
      <c r="AA9" s="48" t="n">
        <v>2338168.07</v>
      </c>
      <c r="AB9" s="48" t="n">
        <v>-543243.0699999998</v>
      </c>
      <c r="AC9" s="25" t="n">
        <v>-0.2328315636622975</v>
      </c>
      <c r="AE9" s="19" t="inlineStr">
        <is>
          <t>Support &amp; Cloud Ops</t>
        </is>
      </c>
      <c r="AF9" s="28" t="n">
        <v>16.65488939415045</v>
      </c>
    </row>
    <row r="10">
      <c r="A10" s="19" t="inlineStr">
        <is>
          <t>sales_marketing</t>
        </is>
      </c>
      <c r="B10" s="19" t="inlineStr">
        <is>
          <t>Sales &amp; Marketing</t>
        </is>
      </c>
      <c r="C10" s="19" t="inlineStr">
        <is>
          <t>detail</t>
        </is>
      </c>
      <c r="D10" s="19" t="inlineStr">
        <is>
          <t>usd</t>
        </is>
      </c>
      <c r="E10" s="124" t="n">
        <v>14145200.08</v>
      </c>
      <c r="F10" s="124" t="n">
        <v>7291450.43</v>
      </c>
      <c r="G10" s="124" t="n">
        <v>8092469.631362462</v>
      </c>
      <c r="H10" s="124" t="n">
        <v>15383920.06136246</v>
      </c>
      <c r="I10" s="124" t="n">
        <v>14482767.92</v>
      </c>
      <c r="J10" s="19" t="inlineStr">
        <is>
          <t>lower_favorable</t>
        </is>
      </c>
      <c r="M10" s="138" t="n">
        <v>45930</v>
      </c>
      <c r="N10" s="19" t="inlineStr">
        <is>
          <t>Sep-25</t>
        </is>
      </c>
      <c r="O10" s="19" t="inlineStr">
        <is>
          <t>Actual</t>
        </is>
      </c>
      <c r="P10" s="48" t="n">
        <v>2303897.33</v>
      </c>
      <c r="Q10" s="48" t="n">
        <v>53411.27</v>
      </c>
      <c r="R10" s="48" t="n">
        <v>2357308.6</v>
      </c>
      <c r="S10" s="48" t="n">
        <v>482779.47</v>
      </c>
      <c r="T10" s="48" t="n">
        <v>62442.09</v>
      </c>
      <c r="U10" s="48" t="n">
        <v>545221.5599999999</v>
      </c>
      <c r="V10" s="48" t="n">
        <v>1812087.04</v>
      </c>
      <c r="W10" s="25" t="n">
        <v>0.7687101468174341</v>
      </c>
      <c r="X10" s="48" t="n">
        <v>1217022.63</v>
      </c>
      <c r="Y10" s="48" t="n">
        <v>770226.36</v>
      </c>
      <c r="Z10" s="48" t="n">
        <v>428838.63</v>
      </c>
      <c r="AA10" s="48" t="n">
        <v>2416087.62</v>
      </c>
      <c r="AB10" s="48" t="n">
        <v>-604000.5799999996</v>
      </c>
      <c r="AC10" s="25" t="n">
        <v>-0.2562246538276743</v>
      </c>
    </row>
    <row r="11">
      <c r="A11" s="19" t="inlineStr">
        <is>
          <t>research_development</t>
        </is>
      </c>
      <c r="B11" s="19" t="inlineStr">
        <is>
          <t>Research &amp; Development</t>
        </is>
      </c>
      <c r="C11" s="19" t="inlineStr">
        <is>
          <t>detail</t>
        </is>
      </c>
      <c r="D11" s="19" t="inlineStr">
        <is>
          <t>usd</t>
        </is>
      </c>
      <c r="E11" s="124" t="n">
        <v>9200437.140000001</v>
      </c>
      <c r="F11" s="124" t="n">
        <v>4912182.060000001</v>
      </c>
      <c r="G11" s="124" t="n">
        <v>5147699.242126213</v>
      </c>
      <c r="H11" s="124" t="n">
        <v>10059881.30212621</v>
      </c>
      <c r="I11" s="124" t="n">
        <v>10140310.44</v>
      </c>
      <c r="J11" s="19" t="inlineStr">
        <is>
          <t>lower_favorable</t>
        </is>
      </c>
      <c r="M11" s="138" t="n">
        <v>45961</v>
      </c>
      <c r="N11" s="19" t="inlineStr">
        <is>
          <t>Oct-25</t>
        </is>
      </c>
      <c r="O11" s="19" t="inlineStr">
        <is>
          <t>Actual</t>
        </is>
      </c>
      <c r="P11" s="48" t="n">
        <v>2331006.71</v>
      </c>
      <c r="Q11" s="48" t="n">
        <v>50824.95</v>
      </c>
      <c r="R11" s="48" t="n">
        <v>2381831.66</v>
      </c>
      <c r="S11" s="48" t="n">
        <v>500497.99</v>
      </c>
      <c r="T11" s="48" t="n">
        <v>61927.49</v>
      </c>
      <c r="U11" s="48" t="n">
        <v>562425.48</v>
      </c>
      <c r="V11" s="48" t="n">
        <v>1819406.18</v>
      </c>
      <c r="W11" s="25" t="n">
        <v>0.7638685011013749</v>
      </c>
      <c r="X11" s="48" t="n">
        <v>1228561.59</v>
      </c>
      <c r="Y11" s="48" t="n">
        <v>835485.8</v>
      </c>
      <c r="Z11" s="48" t="n">
        <v>439363.07</v>
      </c>
      <c r="AA11" s="48" t="n">
        <v>2503410.46</v>
      </c>
      <c r="AB11" s="48" t="n">
        <v>-684004.2799999998</v>
      </c>
      <c r="AC11" s="25" t="n">
        <v>-0.2871757444016844</v>
      </c>
    </row>
    <row r="12">
      <c r="A12" s="19" t="inlineStr">
        <is>
          <t>general_administrative</t>
        </is>
      </c>
      <c r="B12" s="19" t="inlineStr">
        <is>
          <t>General &amp; Administrative</t>
        </is>
      </c>
      <c r="C12" s="19" t="inlineStr">
        <is>
          <t>detail</t>
        </is>
      </c>
      <c r="D12" s="19" t="inlineStr">
        <is>
          <t>usd</t>
        </is>
      </c>
      <c r="E12" s="124" t="n">
        <v>5120076.740000001</v>
      </c>
      <c r="F12" s="124" t="n">
        <v>2972513.47</v>
      </c>
      <c r="G12" s="124" t="n">
        <v>2992146.313758222</v>
      </c>
      <c r="H12" s="124" t="n">
        <v>5964659.783758222</v>
      </c>
      <c r="I12" s="124" t="n">
        <v>5913831.47</v>
      </c>
      <c r="J12" s="19" t="inlineStr">
        <is>
          <t>lower_favorable</t>
        </is>
      </c>
      <c r="M12" s="138" t="n">
        <v>45991</v>
      </c>
      <c r="N12" s="19" t="inlineStr">
        <is>
          <t>Nov-25</t>
        </is>
      </c>
      <c r="O12" s="19" t="inlineStr">
        <is>
          <t>Actual</t>
        </is>
      </c>
      <c r="P12" s="48" t="n">
        <v>2372251.11</v>
      </c>
      <c r="Q12" s="48" t="n">
        <v>70188.69</v>
      </c>
      <c r="R12" s="48" t="n">
        <v>2442439.8</v>
      </c>
      <c r="S12" s="48" t="n">
        <v>516823.85</v>
      </c>
      <c r="T12" s="48" t="n">
        <v>75386.46000000001</v>
      </c>
      <c r="U12" s="48" t="n">
        <v>592210.3099999999</v>
      </c>
      <c r="V12" s="48" t="n">
        <v>1850229.49</v>
      </c>
      <c r="W12" s="25" t="n">
        <v>0.7575333033796781</v>
      </c>
      <c r="X12" s="48" t="n">
        <v>1236147.9</v>
      </c>
      <c r="Y12" s="48" t="n">
        <v>809539.01</v>
      </c>
      <c r="Z12" s="48" t="n">
        <v>430838.49</v>
      </c>
      <c r="AA12" s="48" t="n">
        <v>2476525.4</v>
      </c>
      <c r="AB12" s="48" t="n">
        <v>-626295.9100000001</v>
      </c>
      <c r="AC12" s="25" t="n">
        <v>-0.2564222504071544</v>
      </c>
    </row>
    <row r="13">
      <c r="A13" s="19" t="inlineStr">
        <is>
          <t>total_opex</t>
        </is>
      </c>
      <c r="B13" s="19" t="inlineStr">
        <is>
          <t>Total OpEx</t>
        </is>
      </c>
      <c r="C13" s="19" t="inlineStr">
        <is>
          <t>subtotal</t>
        </is>
      </c>
      <c r="D13" s="19" t="inlineStr">
        <is>
          <t>usd</t>
        </is>
      </c>
      <c r="E13" s="124" t="n">
        <v>28465713.96</v>
      </c>
      <c r="F13" s="124" t="n">
        <v>15176145.96</v>
      </c>
      <c r="G13" s="124" t="n">
        <v>16232315.1872469</v>
      </c>
      <c r="H13" s="124" t="n">
        <v>31408461.1472469</v>
      </c>
      <c r="I13" s="124" t="n">
        <v>30536909.83</v>
      </c>
      <c r="J13" s="19" t="inlineStr">
        <is>
          <t>lower_favorable</t>
        </is>
      </c>
      <c r="M13" s="138" t="n">
        <v>46022</v>
      </c>
      <c r="N13" s="19" t="inlineStr">
        <is>
          <t>Dec-25</t>
        </is>
      </c>
      <c r="O13" s="19" t="inlineStr">
        <is>
          <t>Actual</t>
        </is>
      </c>
      <c r="P13" s="48" t="n">
        <v>2425179.95</v>
      </c>
      <c r="Q13" s="48" t="n">
        <v>76395.05</v>
      </c>
      <c r="R13" s="48" t="n">
        <v>2501575</v>
      </c>
      <c r="S13" s="48" t="n">
        <v>522900.35</v>
      </c>
      <c r="T13" s="48" t="n">
        <v>62911.23</v>
      </c>
      <c r="U13" s="48" t="n">
        <v>585811.58</v>
      </c>
      <c r="V13" s="48" t="n">
        <v>1915763.42</v>
      </c>
      <c r="W13" s="25" t="n">
        <v>0.7658228995732688</v>
      </c>
      <c r="X13" s="48" t="n">
        <v>1210853.23</v>
      </c>
      <c r="Y13" s="48" t="n">
        <v>811256.98</v>
      </c>
      <c r="Z13" s="48" t="n">
        <v>433349.86</v>
      </c>
      <c r="AA13" s="48" t="n">
        <v>2455460.07</v>
      </c>
      <c r="AB13" s="48" t="n">
        <v>-539696.6499999999</v>
      </c>
      <c r="AC13" s="25" t="n">
        <v>-0.2157427420724943</v>
      </c>
    </row>
    <row r="14">
      <c r="A14" s="19" t="inlineStr">
        <is>
          <t>operating_income</t>
        </is>
      </c>
      <c r="B14" s="19" t="inlineStr">
        <is>
          <t>Operating Income / (Loss)</t>
        </is>
      </c>
      <c r="C14" s="19" t="inlineStr">
        <is>
          <t>total</t>
        </is>
      </c>
      <c r="D14" s="19" t="inlineStr">
        <is>
          <t>usd</t>
        </is>
      </c>
      <c r="E14" s="124" t="n">
        <v>-7530578.819999998</v>
      </c>
      <c r="F14" s="124" t="n">
        <v>-2925032.46</v>
      </c>
      <c r="G14" s="124" t="n">
        <v>-2788656.711131237</v>
      </c>
      <c r="H14" s="124" t="n">
        <v>-5713689.171131236</v>
      </c>
      <c r="I14" s="124" t="n">
        <v>-5625466.879999995</v>
      </c>
      <c r="J14" s="19" t="inlineStr">
        <is>
          <t>higher_favorable</t>
        </is>
      </c>
      <c r="M14" s="138" t="n">
        <v>46053</v>
      </c>
      <c r="N14" s="19" t="inlineStr">
        <is>
          <t>Jan-26</t>
        </is>
      </c>
      <c r="O14" s="19" t="inlineStr">
        <is>
          <t>Actual</t>
        </is>
      </c>
      <c r="P14" s="48" t="n">
        <v>2485743.32</v>
      </c>
      <c r="Q14" s="48" t="n">
        <v>70707.55</v>
      </c>
      <c r="R14" s="48" t="n">
        <v>2556450.87</v>
      </c>
      <c r="S14" s="48" t="n">
        <v>485515.3</v>
      </c>
      <c r="T14" s="48" t="n">
        <v>62478.79</v>
      </c>
      <c r="U14" s="48" t="n">
        <v>547994.09</v>
      </c>
      <c r="V14" s="48" t="n">
        <v>2008456.78</v>
      </c>
      <c r="W14" s="25" t="n">
        <v>0.785642628054886</v>
      </c>
      <c r="X14" s="48" t="n">
        <v>1092738.15</v>
      </c>
      <c r="Y14" s="48" t="n">
        <v>804145.12</v>
      </c>
      <c r="Z14" s="48" t="n">
        <v>432213.05</v>
      </c>
      <c r="AA14" s="48" t="n">
        <v>2329096.32</v>
      </c>
      <c r="AB14" s="48" t="n">
        <v>-320639.54</v>
      </c>
      <c r="AC14" s="25" t="n">
        <v>-0.1254237050915827</v>
      </c>
    </row>
    <row r="15">
      <c r="A15" s="19" t="inlineStr">
        <is>
          <t>operating_margin_pct</t>
        </is>
      </c>
      <c r="B15" s="19" t="inlineStr">
        <is>
          <t>Operating Margin %</t>
        </is>
      </c>
      <c r="C15" s="19" t="inlineStr">
        <is>
          <t>margin</t>
        </is>
      </c>
      <c r="D15" s="19" t="inlineStr">
        <is>
          <t>pct</t>
        </is>
      </c>
      <c r="E15" s="124" t="n">
        <v>-0.2748408994693552</v>
      </c>
      <c r="F15" s="124" t="n">
        <v>-0.1863631859518383</v>
      </c>
      <c r="G15" s="124" t="n">
        <v>-0.1631209672380062</v>
      </c>
      <c r="H15" s="124" t="n">
        <v>-0.1742458099678674</v>
      </c>
      <c r="I15" s="124" t="n">
        <v>-0.1672621896740872</v>
      </c>
      <c r="J15" s="19" t="inlineStr">
        <is>
          <t>higher_favorable</t>
        </is>
      </c>
      <c r="M15" s="138" t="n">
        <v>46081</v>
      </c>
      <c r="N15" s="19" t="inlineStr">
        <is>
          <t>Feb-26</t>
        </is>
      </c>
      <c r="O15" s="19" t="inlineStr">
        <is>
          <t>Actual</t>
        </is>
      </c>
      <c r="P15" s="48" t="n">
        <v>2515388.27</v>
      </c>
      <c r="Q15" s="48" t="n">
        <v>58952.53</v>
      </c>
      <c r="R15" s="48" t="n">
        <v>2574340.8</v>
      </c>
      <c r="S15" s="48" t="n">
        <v>492789.53</v>
      </c>
      <c r="T15" s="48" t="n">
        <v>62470.16</v>
      </c>
      <c r="U15" s="48" t="n">
        <v>555259.6900000001</v>
      </c>
      <c r="V15" s="48" t="n">
        <v>2019081.11</v>
      </c>
      <c r="W15" s="25" t="n">
        <v>0.7843099522798226</v>
      </c>
      <c r="X15" s="48" t="n">
        <v>1111024.78</v>
      </c>
      <c r="Y15" s="48" t="n">
        <v>810796.51</v>
      </c>
      <c r="Z15" s="48" t="n">
        <v>462393.86</v>
      </c>
      <c r="AA15" s="48" t="n">
        <v>2384215.15</v>
      </c>
      <c r="AB15" s="48" t="n">
        <v>-365134.04</v>
      </c>
      <c r="AC15" s="25" t="n">
        <v>-0.1418359371843852</v>
      </c>
    </row>
    <row r="16">
      <c r="M16" s="138" t="n">
        <v>46112</v>
      </c>
      <c r="N16" s="19" t="inlineStr">
        <is>
          <t>Mar-26</t>
        </is>
      </c>
      <c r="O16" s="19" t="inlineStr">
        <is>
          <t>Actual</t>
        </is>
      </c>
      <c r="P16" s="48" t="n">
        <v>2533283.83</v>
      </c>
      <c r="Q16" s="48" t="n">
        <v>56835.99</v>
      </c>
      <c r="R16" s="48" t="n">
        <v>2590119.82</v>
      </c>
      <c r="S16" s="48" t="n">
        <v>519298.51</v>
      </c>
      <c r="T16" s="48" t="n">
        <v>69930.95</v>
      </c>
      <c r="U16" s="48" t="n">
        <v>589229.46</v>
      </c>
      <c r="V16" s="48" t="n">
        <v>2000890.36</v>
      </c>
      <c r="W16" s="25" t="n">
        <v>0.7725088023147902</v>
      </c>
      <c r="X16" s="48" t="n">
        <v>1203029.25</v>
      </c>
      <c r="Y16" s="48" t="n">
        <v>822096.85</v>
      </c>
      <c r="Z16" s="48" t="n">
        <v>599754.12</v>
      </c>
      <c r="AA16" s="48" t="n">
        <v>2624880.22</v>
      </c>
      <c r="AB16" s="48" t="n">
        <v>-623989.8599999999</v>
      </c>
      <c r="AC16" s="25" t="n">
        <v>-0.2409115806850973</v>
      </c>
    </row>
    <row r="17">
      <c r="M17" s="138" t="n">
        <v>46142</v>
      </c>
      <c r="N17" s="19" t="inlineStr">
        <is>
          <t>Apr-26</t>
        </is>
      </c>
      <c r="O17" s="19" t="inlineStr">
        <is>
          <t>Actual</t>
        </is>
      </c>
      <c r="P17" s="48" t="n">
        <v>2560065.62</v>
      </c>
      <c r="Q17" s="48" t="n">
        <v>50909</v>
      </c>
      <c r="R17" s="48" t="n">
        <v>2610974.62</v>
      </c>
      <c r="S17" s="48" t="n">
        <v>494409.36</v>
      </c>
      <c r="T17" s="48" t="n">
        <v>69856.84</v>
      </c>
      <c r="U17" s="48" t="n">
        <v>564266.2</v>
      </c>
      <c r="V17" s="48" t="n">
        <v>2046708.42</v>
      </c>
      <c r="W17" s="25" t="n">
        <v>0.7838867541347452</v>
      </c>
      <c r="X17" s="48" t="n">
        <v>1324853.52</v>
      </c>
      <c r="Y17" s="48" t="n">
        <v>817844.1800000001</v>
      </c>
      <c r="Z17" s="48" t="n">
        <v>554504.04</v>
      </c>
      <c r="AA17" s="48" t="n">
        <v>2697201.74</v>
      </c>
      <c r="AB17" s="48" t="n">
        <v>-650493.3200000001</v>
      </c>
      <c r="AC17" s="25" t="n">
        <v>-0.2491381245214862</v>
      </c>
    </row>
    <row r="18">
      <c r="M18" s="138" t="n">
        <v>46173</v>
      </c>
      <c r="N18" s="19" t="inlineStr">
        <is>
          <t>May-26</t>
        </is>
      </c>
      <c r="O18" s="19" t="inlineStr">
        <is>
          <t>Actual</t>
        </is>
      </c>
      <c r="P18" s="48" t="n">
        <v>2597740.65</v>
      </c>
      <c r="Q18" s="48" t="n">
        <v>46436.61</v>
      </c>
      <c r="R18" s="48" t="n">
        <v>2644177.26</v>
      </c>
      <c r="S18" s="48" t="n">
        <v>517045.75</v>
      </c>
      <c r="T18" s="48" t="n">
        <v>69917.02</v>
      </c>
      <c r="U18" s="48" t="n">
        <v>586962.77</v>
      </c>
      <c r="V18" s="48" t="n">
        <v>2057214.49</v>
      </c>
      <c r="W18" s="25" t="n">
        <v>0.7780168603371168</v>
      </c>
      <c r="X18" s="48" t="n">
        <v>1271678.48</v>
      </c>
      <c r="Y18" s="48" t="n">
        <v>829779.86</v>
      </c>
      <c r="Z18" s="48" t="n">
        <v>470615.8</v>
      </c>
      <c r="AA18" s="48" t="n">
        <v>2572074.14</v>
      </c>
      <c r="AB18" s="48" t="n">
        <v>-514859.6499999999</v>
      </c>
      <c r="AC18" s="25" t="n">
        <v>-0.194714498830536</v>
      </c>
    </row>
    <row r="19">
      <c r="M19" s="138" t="n">
        <v>46203</v>
      </c>
      <c r="N19" s="19" t="inlineStr">
        <is>
          <t>Jun-26</t>
        </is>
      </c>
      <c r="O19" s="19" t="inlineStr">
        <is>
          <t>Actual</t>
        </is>
      </c>
      <c r="P19" s="48" t="n">
        <v>2668547.91</v>
      </c>
      <c r="Q19" s="48" t="n">
        <v>50722.78</v>
      </c>
      <c r="R19" s="48" t="n">
        <v>2719270.69</v>
      </c>
      <c r="S19" s="48" t="n">
        <v>530858.05</v>
      </c>
      <c r="T19" s="48" t="n">
        <v>69650.3</v>
      </c>
      <c r="U19" s="48" t="n">
        <v>600508.3500000001</v>
      </c>
      <c r="V19" s="48" t="n">
        <v>2118762.34</v>
      </c>
      <c r="W19" s="25" t="n">
        <v>0.7791656593040394</v>
      </c>
      <c r="X19" s="48" t="n">
        <v>1288126.25</v>
      </c>
      <c r="Y19" s="48" t="n">
        <v>827519.54</v>
      </c>
      <c r="Z19" s="48" t="n">
        <v>453032.6</v>
      </c>
      <c r="AA19" s="48" t="n">
        <v>2568678.39</v>
      </c>
      <c r="AB19" s="48" t="n">
        <v>-449916.0500000003</v>
      </c>
      <c r="AC19" s="25" t="n">
        <v>-0.1654546756431962</v>
      </c>
    </row>
    <row r="20">
      <c r="M20" s="138" t="n">
        <v>46234</v>
      </c>
      <c r="N20" s="19" t="inlineStr">
        <is>
          <t>Jul-26</t>
        </is>
      </c>
      <c r="O20" s="19" t="inlineStr">
        <is>
          <t>Base Reforecast</t>
        </is>
      </c>
      <c r="P20" s="48" t="n">
        <v>2731761.7365</v>
      </c>
      <c r="Q20" s="48" t="n">
        <v>56429.8085680928</v>
      </c>
      <c r="R20" s="48" t="n">
        <v>2788191.545068093</v>
      </c>
      <c r="S20" s="48" t="n">
        <v>514420.2582618899</v>
      </c>
      <c r="T20" s="48" t="n">
        <v>69945.52403834781</v>
      </c>
      <c r="U20" s="48" t="n">
        <v>584365.7823002377</v>
      </c>
      <c r="V20" s="48" t="n">
        <v>2203825.762767856</v>
      </c>
      <c r="W20" s="25" t="n">
        <v>0.7904140469352272</v>
      </c>
      <c r="X20" s="48" t="n">
        <v>1289582.045919904</v>
      </c>
      <c r="Y20" s="48" t="n">
        <v>828190.127851789</v>
      </c>
      <c r="Z20" s="48" t="n">
        <v>488539.5056184126</v>
      </c>
      <c r="AA20" s="48" t="n">
        <v>2606311.679390105</v>
      </c>
      <c r="AB20" s="48" t="n">
        <v>-402485.9166222499</v>
      </c>
      <c r="AC20" s="25" t="n">
        <v>-0.1443537540791231</v>
      </c>
    </row>
    <row r="21">
      <c r="M21" s="138" t="n">
        <v>46265</v>
      </c>
      <c r="N21" s="19" t="inlineStr">
        <is>
          <t>Aug-26</t>
        </is>
      </c>
      <c r="O21" s="19" t="inlineStr">
        <is>
          <t>Base Reforecast</t>
        </is>
      </c>
      <c r="P21" s="48" t="n">
        <v>2781411.736681232</v>
      </c>
      <c r="Q21" s="48" t="n">
        <v>11729.13058376841</v>
      </c>
      <c r="R21" s="48" t="n">
        <v>2793140.867265</v>
      </c>
      <c r="S21" s="48" t="n">
        <v>546837.4043681584</v>
      </c>
      <c r="T21" s="48" t="n">
        <v>69747.20352492359</v>
      </c>
      <c r="U21" s="48" t="n">
        <v>616584.6078930821</v>
      </c>
      <c r="V21" s="48" t="n">
        <v>2176556.259371919</v>
      </c>
      <c r="W21" s="25" t="n">
        <v>0.7792504434275699</v>
      </c>
      <c r="X21" s="48" t="n">
        <v>1365906.254401841</v>
      </c>
      <c r="Y21" s="48" t="n">
        <v>867863.9396975443</v>
      </c>
      <c r="Z21" s="48" t="n">
        <v>501973.1725536512</v>
      </c>
      <c r="AA21" s="48" t="n">
        <v>2735743.366653036</v>
      </c>
      <c r="AB21" s="48" t="n">
        <v>-559187.1072811172</v>
      </c>
      <c r="AC21" s="25" t="n">
        <v>-0.2002001094304508</v>
      </c>
    </row>
    <row r="22">
      <c r="M22" s="138" t="n">
        <v>46295</v>
      </c>
      <c r="N22" s="19" t="inlineStr">
        <is>
          <t>Sep-26</t>
        </is>
      </c>
      <c r="O22" s="19" t="inlineStr">
        <is>
          <t>Base Reforecast</t>
        </is>
      </c>
      <c r="P22" s="48" t="n">
        <v>2820361.724926457</v>
      </c>
      <c r="Q22" s="48" t="n">
        <v>1547.893599429376</v>
      </c>
      <c r="R22" s="48" t="n">
        <v>2821909.618525886</v>
      </c>
      <c r="S22" s="48" t="n">
        <v>545498.3332146928</v>
      </c>
      <c r="T22" s="48" t="n">
        <v>69549.51196595903</v>
      </c>
      <c r="U22" s="48" t="n">
        <v>615047.8451806518</v>
      </c>
      <c r="V22" s="48" t="n">
        <v>2206861.773345235</v>
      </c>
      <c r="W22" s="25" t="n">
        <v>0.7820455194089663</v>
      </c>
      <c r="X22" s="48" t="n">
        <v>1359187.806351908</v>
      </c>
      <c r="Y22" s="48" t="n">
        <v>865877.979380482</v>
      </c>
      <c r="Z22" s="48" t="n">
        <v>501345.9893252614</v>
      </c>
      <c r="AA22" s="48" t="n">
        <v>2726411.77505765</v>
      </c>
      <c r="AB22" s="48" t="n">
        <v>-519550.0017124158</v>
      </c>
      <c r="AC22" s="25" t="n">
        <v>-0.1841129135751056</v>
      </c>
    </row>
    <row r="23">
      <c r="M23" s="138" t="n">
        <v>46326</v>
      </c>
      <c r="N23" s="19" t="inlineStr">
        <is>
          <t>Oct-26</t>
        </is>
      </c>
      <c r="O23" s="19" t="inlineStr">
        <is>
          <t>Base Reforecast</t>
        </is>
      </c>
      <c r="P23" s="48" t="n">
        <v>2843216.478140128</v>
      </c>
      <c r="Q23" s="48" t="n">
        <v>1680.136493208562</v>
      </c>
      <c r="R23" s="48" t="n">
        <v>2844896.614633337</v>
      </c>
      <c r="S23" s="48" t="n">
        <v>544164.2976697327</v>
      </c>
      <c r="T23" s="48" t="n">
        <v>69352.44736678548</v>
      </c>
      <c r="U23" s="48" t="n">
        <v>613516.7450365182</v>
      </c>
      <c r="V23" s="48" t="n">
        <v>2231379.869596818</v>
      </c>
      <c r="W23" s="25" t="n">
        <v>0.7843448011851246</v>
      </c>
      <c r="X23" s="48" t="n">
        <v>1355049.286503499</v>
      </c>
      <c r="Y23" s="48" t="n">
        <v>863896.927028125</v>
      </c>
      <c r="Z23" s="48" t="n">
        <v>500720.0851661434</v>
      </c>
      <c r="AA23" s="48" t="n">
        <v>2719666.298697768</v>
      </c>
      <c r="AB23" s="48" t="n">
        <v>-488286.4291009489</v>
      </c>
      <c r="AC23" s="25" t="n">
        <v>-0.1716359134421064</v>
      </c>
    </row>
    <row r="24">
      <c r="M24" s="138" t="n">
        <v>46356</v>
      </c>
      <c r="N24" s="19" t="inlineStr">
        <is>
          <t>Nov-26</t>
        </is>
      </c>
      <c r="O24" s="19" t="inlineStr">
        <is>
          <t>Base Reforecast</t>
        </is>
      </c>
      <c r="P24" s="48" t="n">
        <v>2859644.821528329</v>
      </c>
      <c r="Q24" s="48" t="n">
        <v>52155.92128758725</v>
      </c>
      <c r="R24" s="48" t="n">
        <v>2911800.742815916</v>
      </c>
      <c r="S24" s="48" t="n">
        <v>542835.2787482892</v>
      </c>
      <c r="T24" s="48" t="n">
        <v>69156.00773906018</v>
      </c>
      <c r="U24" s="48" t="n">
        <v>611991.2864873494</v>
      </c>
      <c r="V24" s="48" t="n">
        <v>2299809.456328567</v>
      </c>
      <c r="W24" s="25" t="n">
        <v>0.7898237755460181</v>
      </c>
      <c r="X24" s="48" t="n">
        <v>1363430.276209538</v>
      </c>
      <c r="Y24" s="48" t="n">
        <v>861920.7704965108</v>
      </c>
      <c r="Z24" s="48" t="n">
        <v>500095.4574677799</v>
      </c>
      <c r="AA24" s="48" t="n">
        <v>2725446.504173829</v>
      </c>
      <c r="AB24" s="48" t="n">
        <v>-425637.0478452621</v>
      </c>
      <c r="AC24" s="25" t="n">
        <v>-0.1461765709399611</v>
      </c>
    </row>
    <row r="25">
      <c r="M25" s="138" t="n">
        <v>46387</v>
      </c>
      <c r="N25" s="19" t="inlineStr">
        <is>
          <t>Dec-26</t>
        </is>
      </c>
      <c r="O25" s="19" t="inlineStr">
        <is>
          <t>Base Reforecast</t>
        </is>
      </c>
      <c r="P25" s="48" t="n">
        <v>2883471.500974676</v>
      </c>
      <c r="Q25" s="48" t="n">
        <v>52225.30236846599</v>
      </c>
      <c r="R25" s="48" t="n">
        <v>2935696.803343141</v>
      </c>
      <c r="S25" s="48" t="n">
        <v>541511.2575371295</v>
      </c>
      <c r="T25" s="48" t="n">
        <v>68960.19110074619</v>
      </c>
      <c r="U25" s="48" t="n">
        <v>610471.4486378756</v>
      </c>
      <c r="V25" s="48" t="n">
        <v>2325225.354705266</v>
      </c>
      <c r="W25" s="25" t="n">
        <v>0.7920522828029527</v>
      </c>
      <c r="X25" s="48" t="n">
        <v>1359313.961975772</v>
      </c>
      <c r="Y25" s="48" t="n">
        <v>859949.4976717624</v>
      </c>
      <c r="Z25" s="48" t="n">
        <v>499472.1036269736</v>
      </c>
      <c r="AA25" s="48" t="n">
        <v>2718735.563274508</v>
      </c>
      <c r="AB25" s="48" t="n">
        <v>-393510.2085692426</v>
      </c>
      <c r="AC25" s="25" t="n">
        <v>-0.1340432050479863</v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M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  <col width="19" customWidth="1" min="8" max="8"/>
    <col width="15" customWidth="1" min="9" max="9"/>
    <col width="18" customWidth="1" min="10" max="10"/>
    <col width="18" customWidth="1" min="11" max="11"/>
    <col width="14" customWidth="1" min="14" max="14"/>
    <col width="13" customWidth="1" min="15" max="15"/>
    <col width="12" customWidth="1" min="16" max="16"/>
    <col width="12" customWidth="1" min="17" max="17"/>
    <col width="19" customWidth="1" min="18" max="18"/>
    <col width="12" customWidth="1" min="19" max="19"/>
    <col width="13" customWidth="1" min="20" max="20"/>
    <col width="19" customWidth="1" min="21" max="21"/>
    <col width="15" customWidth="1" min="22" max="22"/>
    <col width="18" customWidth="1" min="23" max="23"/>
    <col width="18" customWidth="1" min="24" max="24"/>
    <col width="12" customWidth="1" min="27" max="27"/>
    <col width="14" customWidth="1" min="28" max="28"/>
    <col width="13" customWidth="1" min="29" max="29"/>
    <col width="12" customWidth="1" min="30" max="30"/>
    <col width="19" customWidth="1" min="31" max="31"/>
    <col width="12" customWidth="1" min="32" max="32"/>
    <col width="13" customWidth="1" min="33" max="33"/>
    <col width="19" customWidth="1" min="34" max="34"/>
    <col width="15" customWidth="1" min="35" max="35"/>
    <col width="18" customWidth="1" min="36" max="36"/>
    <col width="18" customWidth="1" min="37" max="37"/>
    <col width="14" customWidth="1" min="40" max="40"/>
    <col width="13" customWidth="1" min="41" max="41"/>
    <col width="12" customWidth="1" min="42" max="42"/>
    <col width="19" customWidth="1" min="43" max="43"/>
    <col width="12" customWidth="1" min="44" max="44"/>
    <col width="13" customWidth="1" min="45" max="45"/>
    <col width="19" customWidth="1" min="46" max="46"/>
    <col width="15" customWidth="1" min="47" max="47"/>
    <col width="18" customWidth="1" min="48" max="48"/>
    <col width="18" customWidth="1" min="49" max="49"/>
    <col width="16" customWidth="1" min="51" max="51"/>
    <col width="14" customWidth="1" min="52" max="52"/>
    <col width="13" customWidth="1" min="53" max="53"/>
    <col width="12" customWidth="1" min="54" max="54"/>
    <col width="19" customWidth="1" min="55" max="55"/>
    <col width="12" customWidth="1" min="56" max="56"/>
    <col width="12" customWidth="1" min="58" max="58"/>
    <col width="16" customWidth="1" min="59" max="59"/>
    <col width="12" customWidth="1" min="60" max="60"/>
    <col width="12" customWidth="1" min="61" max="61"/>
    <col width="17" customWidth="1" min="62" max="62"/>
    <col width="15" customWidth="1" min="63" max="63"/>
    <col width="12" customWidth="1" min="64" max="64"/>
    <col width="16" customWidth="1" min="65" max="65"/>
    <col width="25" customWidth="1" min="66" max="66"/>
    <col width="12" customWidth="1" min="67" max="67"/>
    <col width="21" customWidth="1" min="68" max="68"/>
    <col width="20" customWidth="1" min="69" max="69"/>
    <col width="16" customWidth="1" min="70" max="70"/>
    <col width="12" customWidth="1" min="72" max="72"/>
    <col width="14" customWidth="1" min="73" max="73"/>
    <col width="13" customWidth="1" min="74" max="74"/>
    <col width="19" customWidth="1" min="75" max="75"/>
    <col width="12" customWidth="1" min="76" max="76"/>
    <col width="19" customWidth="1" min="77" max="77"/>
    <col width="16" customWidth="1" min="78" max="78"/>
    <col width="12" customWidth="1" min="79" max="79"/>
    <col width="12" customWidth="1" min="81" max="81"/>
    <col width="14" customWidth="1" min="82" max="82"/>
    <col width="13" customWidth="1" min="83" max="83"/>
    <col width="12" customWidth="1" min="84" max="84"/>
    <col width="19" customWidth="1" min="85" max="85"/>
    <col width="12" customWidth="1" min="86" max="86"/>
    <col width="14" customWidth="1" min="88" max="88"/>
    <col width="13" customWidth="1" min="89" max="89"/>
    <col width="12" customWidth="1" min="90" max="90"/>
    <col width="12" customWidth="1" min="91" max="91"/>
  </cols>
  <sheetData>
    <row r="1">
      <c r="A1" s="137" t="inlineStr">
        <is>
          <t>line_order</t>
        </is>
      </c>
      <c r="B1" s="136" t="inlineStr">
        <is>
          <t>line_item</t>
        </is>
      </c>
      <c r="C1" s="136" t="inlineStr">
        <is>
          <t>driver_category</t>
        </is>
      </c>
      <c r="D1" s="136" t="inlineStr">
        <is>
          <t>amount</t>
        </is>
      </c>
      <c r="E1" s="136" t="inlineStr">
        <is>
          <t>running_balance</t>
        </is>
      </c>
      <c r="F1" s="136" t="inlineStr">
        <is>
          <t>residual</t>
        </is>
      </c>
      <c r="G1" s="136" t="inlineStr">
        <is>
          <t>line_kind</t>
        </is>
      </c>
      <c r="H1" s="136" t="inlineStr">
        <is>
          <t>chart_invisible</t>
        </is>
      </c>
      <c r="I1" s="136" t="inlineStr">
        <is>
          <t>chart_total</t>
        </is>
      </c>
      <c r="J1" s="136" t="inlineStr">
        <is>
          <t>chart_increase</t>
        </is>
      </c>
      <c r="K1" s="136" t="inlineStr">
        <is>
          <t>chart_decrease</t>
        </is>
      </c>
      <c r="N1" s="136" t="inlineStr">
        <is>
          <t>line_order</t>
        </is>
      </c>
      <c r="O1" s="136" t="inlineStr">
        <is>
          <t>line_item</t>
        </is>
      </c>
      <c r="P1" s="136" t="inlineStr">
        <is>
          <t>unit</t>
        </is>
      </c>
      <c r="Q1" s="136" t="inlineStr">
        <is>
          <t>amount</t>
        </is>
      </c>
      <c r="R1" s="136" t="inlineStr">
        <is>
          <t>running_balance</t>
        </is>
      </c>
      <c r="S1" s="136" t="inlineStr">
        <is>
          <t>residual</t>
        </is>
      </c>
      <c r="T1" s="136" t="inlineStr">
        <is>
          <t>line_kind</t>
        </is>
      </c>
      <c r="U1" s="136" t="inlineStr">
        <is>
          <t>chart_invisible</t>
        </is>
      </c>
      <c r="V1" s="136" t="inlineStr">
        <is>
          <t>chart_total</t>
        </is>
      </c>
      <c r="W1" s="136" t="inlineStr">
        <is>
          <t>chart_increase</t>
        </is>
      </c>
      <c r="X1" s="136" t="inlineStr">
        <is>
          <t>chart_decrease</t>
        </is>
      </c>
      <c r="AA1" s="136" t="inlineStr">
        <is>
          <t>category</t>
        </is>
      </c>
      <c r="AB1" s="136" t="inlineStr">
        <is>
          <t>line_order</t>
        </is>
      </c>
      <c r="AC1" s="136" t="inlineStr">
        <is>
          <t>line_item</t>
        </is>
      </c>
      <c r="AD1" s="136" t="inlineStr">
        <is>
          <t>amount</t>
        </is>
      </c>
      <c r="AE1" s="136" t="inlineStr">
        <is>
          <t>running_balance</t>
        </is>
      </c>
      <c r="AF1" s="136" t="inlineStr">
        <is>
          <t>residual</t>
        </is>
      </c>
      <c r="AG1" s="136" t="inlineStr">
        <is>
          <t>line_kind</t>
        </is>
      </c>
      <c r="AH1" s="136" t="inlineStr">
        <is>
          <t>chart_invisible</t>
        </is>
      </c>
      <c r="AI1" s="136" t="inlineStr">
        <is>
          <t>chart_total</t>
        </is>
      </c>
      <c r="AJ1" s="136" t="inlineStr">
        <is>
          <t>chart_increase</t>
        </is>
      </c>
      <c r="AK1" s="136" t="inlineStr">
        <is>
          <t>chart_decrease</t>
        </is>
      </c>
      <c r="AN1" s="136" t="inlineStr">
        <is>
          <t>line_order</t>
        </is>
      </c>
      <c r="AO1" s="136" t="inlineStr">
        <is>
          <t>line_item</t>
        </is>
      </c>
      <c r="AP1" s="136" t="inlineStr">
        <is>
          <t>amount</t>
        </is>
      </c>
      <c r="AQ1" s="136" t="inlineStr">
        <is>
          <t>running_balance</t>
        </is>
      </c>
      <c r="AR1" s="136" t="inlineStr">
        <is>
          <t>residual</t>
        </is>
      </c>
      <c r="AS1" s="136" t="inlineStr">
        <is>
          <t>line_kind</t>
        </is>
      </c>
      <c r="AT1" s="136" t="inlineStr">
        <is>
          <t>chart_invisible</t>
        </is>
      </c>
      <c r="AU1" s="136" t="inlineStr">
        <is>
          <t>chart_total</t>
        </is>
      </c>
      <c r="AV1" s="136" t="inlineStr">
        <is>
          <t>chart_increase</t>
        </is>
      </c>
      <c r="AW1" s="136" t="inlineStr">
        <is>
          <t>chart_decrease</t>
        </is>
      </c>
      <c r="AY1" s="136" t="inlineStr">
        <is>
          <t>revenue_line</t>
        </is>
      </c>
      <c r="AZ1" s="136" t="inlineStr">
        <is>
          <t>line_order</t>
        </is>
      </c>
      <c r="BA1" s="136" t="inlineStr">
        <is>
          <t>line_item</t>
        </is>
      </c>
      <c r="BB1" s="136" t="inlineStr">
        <is>
          <t>amount</t>
        </is>
      </c>
      <c r="BC1" s="136" t="inlineStr">
        <is>
          <t>running_balance</t>
        </is>
      </c>
      <c r="BD1" s="136" t="inlineStr">
        <is>
          <t>residual</t>
        </is>
      </c>
      <c r="BF1" s="136" t="inlineStr">
        <is>
          <t>metric</t>
        </is>
      </c>
      <c r="BG1" s="136" t="inlineStr">
        <is>
          <t>metric_label</t>
        </is>
      </c>
      <c r="BH1" s="136" t="inlineStr">
        <is>
          <t>period</t>
        </is>
      </c>
      <c r="BI1" s="136" t="inlineStr">
        <is>
          <t>unit</t>
        </is>
      </c>
      <c r="BJ1" s="136" t="inlineStr">
        <is>
          <t>budget_amount</t>
        </is>
      </c>
      <c r="BK1" s="136" t="inlineStr">
        <is>
          <t>base_amount</t>
        </is>
      </c>
      <c r="BL1" s="136" t="inlineStr">
        <is>
          <t>variance</t>
        </is>
      </c>
      <c r="BM1" s="136" t="inlineStr">
        <is>
          <t>variance_pct</t>
        </is>
      </c>
      <c r="BN1" s="136" t="inlineStr">
        <is>
          <t>favorable_unfavorable</t>
        </is>
      </c>
      <c r="BO1" s="136" t="inlineStr">
        <is>
          <t>polarity</t>
        </is>
      </c>
      <c r="BP1" s="136" t="inlineStr">
        <is>
          <t>rank_abs_variance</t>
        </is>
      </c>
      <c r="BQ1" s="136" t="inlineStr">
        <is>
          <t>materiality_flag</t>
        </is>
      </c>
      <c r="BR1" s="136" t="inlineStr">
        <is>
          <t>source_model</t>
        </is>
      </c>
      <c r="BT1" s="136" t="inlineStr">
        <is>
          <t>segment</t>
        </is>
      </c>
      <c r="BU1" s="136" t="inlineStr">
        <is>
          <t>line_order</t>
        </is>
      </c>
      <c r="BV1" s="136" t="inlineStr">
        <is>
          <t>line_item</t>
        </is>
      </c>
      <c r="BW1" s="136" t="inlineStr">
        <is>
          <t>driver_category</t>
        </is>
      </c>
      <c r="BX1" s="136" t="inlineStr">
        <is>
          <t>amount</t>
        </is>
      </c>
      <c r="BY1" s="136" t="inlineStr">
        <is>
          <t>running_balance</t>
        </is>
      </c>
      <c r="BZ1" s="136" t="inlineStr">
        <is>
          <t>budget_grain</t>
        </is>
      </c>
      <c r="CA1" s="136" t="inlineStr">
        <is>
          <t>residual</t>
        </is>
      </c>
      <c r="CC1" s="136" t="inlineStr">
        <is>
          <t>category</t>
        </is>
      </c>
      <c r="CD1" s="136" t="inlineStr">
        <is>
          <t>line_order</t>
        </is>
      </c>
      <c r="CE1" s="136" t="inlineStr">
        <is>
          <t>line_item</t>
        </is>
      </c>
      <c r="CF1" s="136" t="inlineStr">
        <is>
          <t>amount</t>
        </is>
      </c>
      <c r="CG1" s="136" t="inlineStr">
        <is>
          <t>running_balance</t>
        </is>
      </c>
      <c r="CH1" s="136" t="inlineStr">
        <is>
          <t>residual</t>
        </is>
      </c>
      <c r="CJ1" s="136" t="inlineStr">
        <is>
          <t>line_order</t>
        </is>
      </c>
      <c r="CK1" s="136" t="inlineStr">
        <is>
          <t>line_item</t>
        </is>
      </c>
      <c r="CL1" s="136" t="inlineStr">
        <is>
          <t>unit</t>
        </is>
      </c>
      <c r="CM1" s="136" t="inlineStr">
        <is>
          <t>amount</t>
        </is>
      </c>
    </row>
    <row r="2">
      <c r="A2" s="19" t="n">
        <v>1</v>
      </c>
      <c r="B2" s="19" t="inlineStr">
        <is>
          <t>Budget Exit ARR</t>
        </is>
      </c>
      <c r="C2" s="19" t="inlineStr">
        <is>
          <t>anchor</t>
        </is>
      </c>
      <c r="D2" s="124" t="n">
        <v>37589315.84</v>
      </c>
      <c r="E2" s="124" t="n">
        <v>37589315.84</v>
      </c>
      <c r="F2" s="124" t="n">
        <v>0</v>
      </c>
      <c r="G2" s="19" t="inlineStr">
        <is>
          <t>anchor</t>
        </is>
      </c>
      <c r="H2" s="48" t="n">
        <v>0</v>
      </c>
      <c r="I2" s="48" t="n">
        <v>37589315.84</v>
      </c>
      <c r="J2" s="48" t="n">
        <v>0</v>
      </c>
      <c r="K2" s="48" t="n">
        <v>0</v>
      </c>
      <c r="N2" s="19" t="n">
        <v>1</v>
      </c>
      <c r="O2" s="19" t="inlineStr">
        <is>
          <t>Budget Gross Profit</t>
        </is>
      </c>
      <c r="P2" s="19" t="inlineStr">
        <is>
          <t>usd</t>
        </is>
      </c>
      <c r="Q2" s="124" t="n">
        <v>24911442.95</v>
      </c>
      <c r="R2" s="124" t="n">
        <v>24911442.95</v>
      </c>
      <c r="S2" s="124" t="n">
        <v>3.725290298461914e-09</v>
      </c>
      <c r="T2" s="19" t="inlineStr">
        <is>
          <t>anchor</t>
        </is>
      </c>
      <c r="U2" s="48" t="n">
        <v>0</v>
      </c>
      <c r="V2" s="48" t="n">
        <v>24911442.95</v>
      </c>
      <c r="W2" s="48" t="n">
        <v>0</v>
      </c>
      <c r="X2" s="48" t="n">
        <v>0</v>
      </c>
      <c r="AA2" s="19" t="inlineStr">
        <is>
          <t>Total OpEx</t>
        </is>
      </c>
      <c r="AB2" s="19" t="n">
        <v>1</v>
      </c>
      <c r="AC2" s="19" t="inlineStr">
        <is>
          <t>Budget Total OpEx</t>
        </is>
      </c>
      <c r="AD2" s="124" t="n">
        <v>30536909.83</v>
      </c>
      <c r="AE2" s="124" t="n">
        <v>30536909.83</v>
      </c>
      <c r="AF2" s="124" t="n">
        <v>0</v>
      </c>
      <c r="AG2" s="19" t="inlineStr">
        <is>
          <t>anchor</t>
        </is>
      </c>
      <c r="AH2" s="48" t="n">
        <v>0</v>
      </c>
      <c r="AI2" s="48" t="n">
        <v>30536909.83</v>
      </c>
      <c r="AJ2" s="48" t="n">
        <v>0</v>
      </c>
      <c r="AK2" s="48" t="n">
        <v>0</v>
      </c>
      <c r="AN2" s="19" t="n">
        <v>1</v>
      </c>
      <c r="AO2" s="19" t="inlineStr">
        <is>
          <t>Budget Operating Income / (Loss)</t>
        </is>
      </c>
      <c r="AP2" s="124" t="n">
        <v>-5625466.879999995</v>
      </c>
      <c r="AQ2" s="124" t="n">
        <v>-5625466.879999995</v>
      </c>
      <c r="AR2" s="124" t="n">
        <v>2.793967723846436e-09</v>
      </c>
      <c r="AS2" s="19" t="inlineStr">
        <is>
          <t>anchor</t>
        </is>
      </c>
      <c r="AT2" s="48" t="n">
        <v>0</v>
      </c>
      <c r="AU2" s="48" t="n">
        <v>-5625466.879999995</v>
      </c>
      <c r="AV2" s="48" t="n">
        <v>0</v>
      </c>
      <c r="AW2" s="48" t="n">
        <v>0</v>
      </c>
      <c r="AY2" s="19" t="inlineStr">
        <is>
          <t>Services Revenue</t>
        </is>
      </c>
      <c r="AZ2" s="19" t="n">
        <v>1</v>
      </c>
      <c r="BA2" s="19" t="inlineStr">
        <is>
          <t>Budget Services Revenue</t>
        </is>
      </c>
      <c r="BB2" s="124" t="n">
        <v>926973.59</v>
      </c>
      <c r="BC2" s="124" t="n">
        <v>926973.59</v>
      </c>
      <c r="BD2" s="124" t="n">
        <v>0</v>
      </c>
      <c r="BF2" s="19" t="inlineStr">
        <is>
          <t>ending_headcount</t>
        </is>
      </c>
      <c r="BG2" s="19" t="inlineStr">
        <is>
          <t>Ending Headcount</t>
        </is>
      </c>
      <c r="BH2" s="19" t="inlineStr">
        <is>
          <t>Dec-2026</t>
        </is>
      </c>
      <c r="BI2" s="19" t="inlineStr">
        <is>
          <t>fte</t>
        </is>
      </c>
      <c r="BJ2" s="124" t="n">
        <v>214</v>
      </c>
      <c r="BK2" s="124" t="n">
        <v>217.6624673318395</v>
      </c>
      <c r="BL2" s="124" t="n">
        <v>3.66246733183948</v>
      </c>
      <c r="BM2" s="123" t="n"/>
      <c r="BN2" s="19" t="inlineStr">
        <is>
          <t>N/A</t>
        </is>
      </c>
      <c r="BO2" s="19" t="inlineStr">
        <is>
          <t>contextual</t>
        </is>
      </c>
      <c r="BP2" s="19" t="n">
        <v>1</v>
      </c>
      <c r="BQ2" s="19" t="b">
        <v>1</v>
      </c>
      <c r="BR2" s="19" t="inlineStr">
        <is>
          <t>int_budget_reforecast_comparison</t>
        </is>
      </c>
      <c r="BT2" s="19" t="inlineStr">
        <is>
          <t>Total</t>
        </is>
      </c>
      <c r="BU2" s="19" t="n">
        <v>1</v>
      </c>
      <c r="BV2" s="19" t="inlineStr">
        <is>
          <t>Budget Exit ARR</t>
        </is>
      </c>
      <c r="BW2" s="19" t="inlineStr">
        <is>
          <t>anchor</t>
        </is>
      </c>
      <c r="BX2" s="124" t="n">
        <v>37589315.84</v>
      </c>
      <c r="BY2" s="124" t="n">
        <v>37589315.84</v>
      </c>
      <c r="BZ2" s="19" t="inlineStr">
        <is>
          <t>source</t>
        </is>
      </c>
      <c r="CA2" s="124" t="n">
        <v>0</v>
      </c>
      <c r="CC2" s="19" t="inlineStr">
        <is>
          <t>General &amp; Administrative</t>
        </is>
      </c>
      <c r="CD2" s="19" t="n">
        <v>1</v>
      </c>
      <c r="CE2" s="19" t="inlineStr">
        <is>
          <t>Budget General &amp; Administrative</t>
        </is>
      </c>
      <c r="CF2" s="124" t="n">
        <v>5913831.47</v>
      </c>
      <c r="CG2" s="124" t="n">
        <v>5913831.47</v>
      </c>
      <c r="CH2" s="124" t="n">
        <v>9.313225746154783e-10</v>
      </c>
      <c r="CJ2" s="19" t="n">
        <v>8</v>
      </c>
      <c r="CK2" s="19" t="inlineStr">
        <is>
          <t>Budget Gross Margin %</t>
        </is>
      </c>
      <c r="CL2" s="19" t="inlineStr">
        <is>
          <t>pct</t>
        </is>
      </c>
      <c r="CM2" s="139" t="n">
        <v>0.7406927433120192</v>
      </c>
    </row>
    <row r="3">
      <c r="A3" s="19" t="n">
        <v>2</v>
      </c>
      <c r="B3" s="19" t="inlineStr">
        <is>
          <t>Opening ARR variance (31-Dec-2025 actual, identical both sides)</t>
        </is>
      </c>
      <c r="C3" s="19" t="inlineStr">
        <is>
          <t>opening_arr</t>
        </is>
      </c>
      <c r="D3" s="124" t="n">
        <v>0</v>
      </c>
      <c r="E3" s="124" t="n">
        <v>37589315.84</v>
      </c>
      <c r="F3" s="124" t="n">
        <v>0</v>
      </c>
      <c r="G3" s="19" t="inlineStr">
        <is>
          <t>component</t>
        </is>
      </c>
      <c r="H3" s="48" t="n">
        <v>37589315.84</v>
      </c>
      <c r="I3" s="48" t="n">
        <v>0</v>
      </c>
      <c r="J3" s="48" t="n">
        <v>0</v>
      </c>
      <c r="K3" s="48" t="n">
        <v>0</v>
      </c>
      <c r="N3" s="19" t="n">
        <v>2</v>
      </c>
      <c r="O3" s="19" t="inlineStr">
        <is>
          <t>Revenue impact</t>
        </is>
      </c>
      <c r="P3" s="19" t="inlineStr">
        <is>
          <t>usd</t>
        </is>
      </c>
      <c r="Q3" s="124" t="n">
        <v>-841657.0083486214</v>
      </c>
      <c r="R3" s="124" t="n">
        <v>24069785.94165137</v>
      </c>
      <c r="S3" s="124" t="n">
        <v>3.725290298461914e-09</v>
      </c>
      <c r="T3" s="19" t="inlineStr">
        <is>
          <t>component</t>
        </is>
      </c>
      <c r="U3" s="48" t="n">
        <v>24069785.94165138</v>
      </c>
      <c r="V3" s="48" t="n">
        <v>0</v>
      </c>
      <c r="W3" s="48" t="n">
        <v>0</v>
      </c>
      <c r="X3" s="48" t="n">
        <v>841657.0083486214</v>
      </c>
      <c r="AA3" s="19" t="inlineStr">
        <is>
          <t>Total OpEx</t>
        </is>
      </c>
      <c r="AB3" s="19" t="n">
        <v>2</v>
      </c>
      <c r="AC3" s="19" t="inlineStr">
        <is>
          <t>Payroll impact (all categories)</t>
        </is>
      </c>
      <c r="AD3" s="124" t="n">
        <v>2409941.953037763</v>
      </c>
      <c r="AE3" s="124" t="n">
        <v>32946851.78303776</v>
      </c>
      <c r="AF3" s="124" t="n">
        <v>0</v>
      </c>
      <c r="AG3" s="19" t="inlineStr">
        <is>
          <t>component</t>
        </is>
      </c>
      <c r="AH3" s="48" t="n">
        <v>30536909.83</v>
      </c>
      <c r="AI3" s="48" t="n">
        <v>0</v>
      </c>
      <c r="AJ3" s="48" t="n">
        <v>2409941.953037763</v>
      </c>
      <c r="AK3" s="48" t="n">
        <v>0</v>
      </c>
      <c r="AN3" s="19" t="n">
        <v>2</v>
      </c>
      <c r="AO3" s="19" t="inlineStr">
        <is>
          <t>Revenue variance - Subscription</t>
        </is>
      </c>
      <c r="AP3" s="124" t="n">
        <v>-425016.0712491795</v>
      </c>
      <c r="AQ3" s="124" t="n">
        <v>-6050482.951249175</v>
      </c>
      <c r="AR3" s="124" t="n">
        <v>2.793967723846436e-09</v>
      </c>
      <c r="AS3" s="19" t="inlineStr">
        <is>
          <t>component</t>
        </is>
      </c>
      <c r="AT3" s="48" t="n">
        <v>-6050482.951249175</v>
      </c>
      <c r="AU3" s="48" t="n">
        <v>0</v>
      </c>
      <c r="AV3" s="48" t="n">
        <v>0</v>
      </c>
      <c r="AW3" s="48" t="n">
        <v>425016.0712491795</v>
      </c>
      <c r="AY3" s="19" t="inlineStr">
        <is>
          <t>Services Revenue</t>
        </is>
      </c>
      <c r="AZ3" s="19" t="n">
        <v>2</v>
      </c>
      <c r="BA3" s="19" t="inlineStr">
        <is>
          <t>Attach-rate mechanic effect (ratio formula vs. Budget stated)</t>
        </is>
      </c>
      <c r="BB3" s="124" t="n">
        <v>-35328.62879396137</v>
      </c>
      <c r="BC3" s="124" t="n">
        <v>891644.9612060386</v>
      </c>
      <c r="BD3" s="124" t="n">
        <v>0</v>
      </c>
      <c r="BF3" s="19" t="inlineStr">
        <is>
          <t>gross_margin_bps</t>
        </is>
      </c>
      <c r="BG3" s="19" t="inlineStr">
        <is>
          <t>Gross Margin</t>
        </is>
      </c>
      <c r="BH3" s="19" t="inlineStr">
        <is>
          <t>FY2026</t>
        </is>
      </c>
      <c r="BI3" s="19" t="inlineStr">
        <is>
          <t>bps</t>
        </is>
      </c>
      <c r="BJ3" s="124" t="n">
        <v>7406.927433120191</v>
      </c>
      <c r="BK3" s="124" t="n">
        <v>7835.929153338076</v>
      </c>
      <c r="BL3" s="124" t="n">
        <v>429.0017202178842</v>
      </c>
      <c r="BM3" s="123" t="n"/>
      <c r="BN3" s="19" t="inlineStr">
        <is>
          <t>Favorable</t>
        </is>
      </c>
      <c r="BO3" s="19" t="inlineStr">
        <is>
          <t>higher_favorable</t>
        </is>
      </c>
      <c r="BP3" s="19" t="n">
        <v>1</v>
      </c>
      <c r="BQ3" s="19" t="b">
        <v>1</v>
      </c>
      <c r="BR3" s="19" t="inlineStr">
        <is>
          <t>fct_gross_profit_bridge</t>
        </is>
      </c>
      <c r="BT3" s="19" t="inlineStr">
        <is>
          <t>Total</t>
        </is>
      </c>
      <c r="BU3" s="19" t="n">
        <v>2</v>
      </c>
      <c r="BV3" s="19" t="inlineStr">
        <is>
          <t>Opening ARR variance (31-Dec-2025 actual, identical both sides)</t>
        </is>
      </c>
      <c r="BW3" s="19" t="inlineStr">
        <is>
          <t>opening_arr</t>
        </is>
      </c>
      <c r="BX3" s="124" t="n">
        <v>0</v>
      </c>
      <c r="BY3" s="124" t="n">
        <v>37589315.84</v>
      </c>
      <c r="BZ3" s="19" t="inlineStr">
        <is>
          <t>source</t>
        </is>
      </c>
      <c r="CA3" s="124" t="n">
        <v>0</v>
      </c>
      <c r="CC3" s="19" t="inlineStr">
        <is>
          <t>General &amp; Administrative</t>
        </is>
      </c>
      <c r="CD3" s="19" t="n">
        <v>2</v>
      </c>
      <c r="CE3" s="19" t="inlineStr">
        <is>
          <t>Payroll impact</t>
        </is>
      </c>
      <c r="CF3" s="124" t="n">
        <v>471621.683758222</v>
      </c>
      <c r="CG3" s="124" t="n">
        <v>6385453.153758222</v>
      </c>
      <c r="CH3" s="124" t="n">
        <v>9.313225746154783e-10</v>
      </c>
      <c r="CJ3" s="19" t="n">
        <v>9</v>
      </c>
      <c r="CK3" s="19" t="inlineStr">
        <is>
          <t>Base Gross Margin %</t>
        </is>
      </c>
      <c r="CL3" s="19" t="inlineStr">
        <is>
          <t>pct</t>
        </is>
      </c>
      <c r="CM3" s="139" t="n">
        <v>0.7835929153338076</v>
      </c>
    </row>
    <row r="4">
      <c r="A4" s="19" t="n">
        <v>3</v>
      </c>
      <c r="B4" s="19" t="inlineStr">
        <is>
          <t>New Logo ARR variance</t>
        </is>
      </c>
      <c r="C4" s="19" t="inlineStr">
        <is>
          <t>new_logo</t>
        </is>
      </c>
      <c r="D4" s="124" t="n">
        <v>-2793686.486435552</v>
      </c>
      <c r="E4" s="124" t="n">
        <v>34795629.35356445</v>
      </c>
      <c r="F4" s="124" t="n">
        <v>0</v>
      </c>
      <c r="G4" s="19" t="inlineStr">
        <is>
          <t>component</t>
        </is>
      </c>
      <c r="H4" s="48" t="n">
        <v>34795629.35356445</v>
      </c>
      <c r="I4" s="48" t="n">
        <v>0</v>
      </c>
      <c r="J4" s="48" t="n">
        <v>0</v>
      </c>
      <c r="K4" s="48" t="n">
        <v>2793686.486435552</v>
      </c>
      <c r="N4" s="19" t="n">
        <v>3</v>
      </c>
      <c r="O4" s="19" t="inlineStr">
        <is>
          <t>Subscription COGS - payroll impact</t>
        </is>
      </c>
      <c r="P4" s="19" t="inlineStr">
        <is>
          <t>usd</t>
        </is>
      </c>
      <c r="Q4" s="124" t="n">
        <v>1315484.140200107</v>
      </c>
      <c r="R4" s="124" t="n">
        <v>25385270.08185148</v>
      </c>
      <c r="S4" s="124" t="n">
        <v>3.725290298461914e-09</v>
      </c>
      <c r="T4" s="19" t="inlineStr">
        <is>
          <t>component</t>
        </is>
      </c>
      <c r="U4" s="48" t="n">
        <v>24069785.94165138</v>
      </c>
      <c r="V4" s="48" t="n">
        <v>0</v>
      </c>
      <c r="W4" s="48" t="n">
        <v>1315484.140200107</v>
      </c>
      <c r="X4" s="48" t="n">
        <v>0</v>
      </c>
      <c r="AA4" s="19" t="inlineStr">
        <is>
          <t>Total OpEx</t>
        </is>
      </c>
      <c r="AB4" s="19" t="n">
        <v>3</v>
      </c>
      <c r="AC4" s="19" t="inlineStr">
        <is>
          <t>Sales commissions impact</t>
        </is>
      </c>
      <c r="AD4" s="124" t="n">
        <v>-98267.10579086628</v>
      </c>
      <c r="AE4" s="124" t="n">
        <v>32848584.6772469</v>
      </c>
      <c r="AF4" s="124" t="n">
        <v>0</v>
      </c>
      <c r="AG4" s="19" t="inlineStr">
        <is>
          <t>component</t>
        </is>
      </c>
      <c r="AH4" s="48" t="n">
        <v>32848584.6772469</v>
      </c>
      <c r="AI4" s="48" t="n">
        <v>0</v>
      </c>
      <c r="AJ4" s="48" t="n">
        <v>0</v>
      </c>
      <c r="AK4" s="48" t="n">
        <v>98267.10579086628</v>
      </c>
      <c r="AN4" s="19" t="n">
        <v>3</v>
      </c>
      <c r="AO4" s="19" t="inlineStr">
        <is>
          <t>Revenue variance - Services</t>
        </is>
      </c>
      <c r="AP4" s="124" t="n">
        <v>-416640.9370994475</v>
      </c>
      <c r="AQ4" s="124" t="n">
        <v>-6467123.888348622</v>
      </c>
      <c r="AR4" s="124" t="n">
        <v>2.793967723846436e-09</v>
      </c>
      <c r="AS4" s="19" t="inlineStr">
        <is>
          <t>component</t>
        </is>
      </c>
      <c r="AT4" s="48" t="n">
        <v>-6467123.888348622</v>
      </c>
      <c r="AU4" s="48" t="n">
        <v>0</v>
      </c>
      <c r="AV4" s="48" t="n">
        <v>0</v>
      </c>
      <c r="AW4" s="48" t="n">
        <v>416640.9370994475</v>
      </c>
      <c r="AY4" s="19" t="inlineStr">
        <is>
          <t>Services Revenue</t>
        </is>
      </c>
      <c r="AZ4" s="19" t="n">
        <v>3</v>
      </c>
      <c r="BA4" s="19" t="inlineStr">
        <is>
          <t>New Logo ARR effect</t>
        </is>
      </c>
      <c r="BB4" s="124" t="n">
        <v>-415162.7464699437</v>
      </c>
      <c r="BC4" s="124" t="n">
        <v>476482.2147360949</v>
      </c>
      <c r="BD4" s="124" t="n">
        <v>0</v>
      </c>
      <c r="BF4" s="19" t="inlineStr">
        <is>
          <t>new_logo_arr</t>
        </is>
      </c>
      <c r="BG4" s="19" t="inlineStr">
        <is>
          <t>New Logo ARR</t>
        </is>
      </c>
      <c r="BH4" s="19" t="inlineStr">
        <is>
          <t>FY2026</t>
        </is>
      </c>
      <c r="BI4" s="19" t="inlineStr">
        <is>
          <t>usd</t>
        </is>
      </c>
      <c r="BJ4" s="124" t="n">
        <v>6000000</v>
      </c>
      <c r="BK4" s="124" t="n">
        <v>3206313.513564448</v>
      </c>
      <c r="BL4" s="124" t="n">
        <v>-2793686.486435552</v>
      </c>
      <c r="BM4" s="123" t="n">
        <v>-0.4656144144059254</v>
      </c>
      <c r="BN4" s="19" t="inlineStr">
        <is>
          <t>Unfavorable</t>
        </is>
      </c>
      <c r="BO4" s="19" t="inlineStr">
        <is>
          <t>higher_favorable</t>
        </is>
      </c>
      <c r="BP4" s="19" t="n">
        <v>1</v>
      </c>
      <c r="BQ4" s="19" t="b">
        <v>1</v>
      </c>
      <c r="BR4" s="19" t="inlineStr">
        <is>
          <t>int_budget_reforecast_comparison</t>
        </is>
      </c>
      <c r="BT4" s="19" t="inlineStr">
        <is>
          <t>Total</t>
        </is>
      </c>
      <c r="BU4" s="19" t="n">
        <v>3</v>
      </c>
      <c r="BV4" s="19" t="inlineStr">
        <is>
          <t>New Logo ARR variance</t>
        </is>
      </c>
      <c r="BW4" s="19" t="inlineStr">
        <is>
          <t>new_logo</t>
        </is>
      </c>
      <c r="BX4" s="124" t="n">
        <v>-2793686.486435552</v>
      </c>
      <c r="BY4" s="124" t="n">
        <v>34795629.35356445</v>
      </c>
      <c r="BZ4" s="19" t="inlineStr">
        <is>
          <t>source</t>
        </is>
      </c>
      <c r="CA4" s="124" t="n">
        <v>0</v>
      </c>
      <c r="CC4" s="19" t="inlineStr">
        <is>
          <t>General &amp; Administrative</t>
        </is>
      </c>
      <c r="CD4" s="19" t="n">
        <v>4</v>
      </c>
      <c r="CE4" s="19" t="inlineStr">
        <is>
          <t>Non-payroll run-rate impact</t>
        </is>
      </c>
      <c r="CF4" s="124" t="n">
        <v>-420793.3700000001</v>
      </c>
      <c r="CG4" s="124" t="n">
        <v>5964659.783758222</v>
      </c>
      <c r="CH4" s="124" t="n">
        <v>9.313225746154783e-10</v>
      </c>
      <c r="CJ4" s="19" t="n">
        <v>10</v>
      </c>
      <c r="CK4" s="19" t="inlineStr">
        <is>
          <t>Gross Margin variance</t>
        </is>
      </c>
      <c r="CL4" s="19" t="inlineStr">
        <is>
          <t>bps</t>
        </is>
      </c>
      <c r="CM4" s="139" t="n">
        <v>429.0017202178842</v>
      </c>
    </row>
    <row r="5">
      <c r="A5" s="19" t="n">
        <v>4</v>
      </c>
      <c r="B5" s="19" t="inlineStr">
        <is>
          <t>Expansion ARR variance</t>
        </is>
      </c>
      <c r="C5" s="19" t="inlineStr">
        <is>
          <t>expansion</t>
        </is>
      </c>
      <c r="D5" s="124" t="n">
        <v>1538102.552951446</v>
      </c>
      <c r="E5" s="124" t="n">
        <v>36333731.9065159</v>
      </c>
      <c r="F5" s="124" t="n">
        <v>0</v>
      </c>
      <c r="G5" s="19" t="inlineStr">
        <is>
          <t>component</t>
        </is>
      </c>
      <c r="H5" s="48" t="n">
        <v>34795629.35356445</v>
      </c>
      <c r="I5" s="48" t="n">
        <v>0</v>
      </c>
      <c r="J5" s="48" t="n">
        <v>1538102.552951446</v>
      </c>
      <c r="K5" s="48" t="n">
        <v>0</v>
      </c>
      <c r="N5" s="19" t="n">
        <v>4</v>
      </c>
      <c r="O5" s="19" t="inlineStr">
        <is>
          <t>Subscription COGS - non-payroll impact</t>
        </is>
      </c>
      <c r="P5" s="19" t="inlineStr">
        <is>
          <t>usd</t>
        </is>
      </c>
      <c r="Q5" s="124" t="n">
        <v>345292.4900000002</v>
      </c>
      <c r="R5" s="124" t="n">
        <v>25730562.57185148</v>
      </c>
      <c r="S5" s="124" t="n">
        <v>3.725290298461914e-09</v>
      </c>
      <c r="T5" s="19" t="inlineStr">
        <is>
          <t>component</t>
        </is>
      </c>
      <c r="U5" s="48" t="n">
        <v>25385270.08185149</v>
      </c>
      <c r="V5" s="48" t="n">
        <v>0</v>
      </c>
      <c r="W5" s="48" t="n">
        <v>345292.4900000002</v>
      </c>
      <c r="X5" s="48" t="n">
        <v>0</v>
      </c>
      <c r="AA5" s="19" t="inlineStr">
        <is>
          <t>Total OpEx</t>
        </is>
      </c>
      <c r="AB5" s="19" t="n">
        <v>4</v>
      </c>
      <c r="AC5" s="19" t="inlineStr">
        <is>
          <t>Non-payroll run-rate impact (all categories)</t>
        </is>
      </c>
      <c r="AD5" s="124" t="n">
        <v>-1440123.530000001</v>
      </c>
      <c r="AE5" s="124" t="n">
        <v>31408461.1472469</v>
      </c>
      <c r="AF5" s="124" t="n">
        <v>0</v>
      </c>
      <c r="AG5" s="19" t="inlineStr">
        <is>
          <t>component</t>
        </is>
      </c>
      <c r="AH5" s="48" t="n">
        <v>31408461.1472469</v>
      </c>
      <c r="AI5" s="48" t="n">
        <v>0</v>
      </c>
      <c r="AJ5" s="48" t="n">
        <v>0</v>
      </c>
      <c r="AK5" s="48" t="n">
        <v>1440123.530000001</v>
      </c>
      <c r="AN5" s="19" t="n">
        <v>4</v>
      </c>
      <c r="AO5" s="19" t="inlineStr">
        <is>
          <t>Subscription COGS impact</t>
        </is>
      </c>
      <c r="AP5" s="124" t="n">
        <v>1660776.630200107</v>
      </c>
      <c r="AQ5" s="124" t="n">
        <v>-4806347.258148516</v>
      </c>
      <c r="AR5" s="124" t="n">
        <v>2.793967723846436e-09</v>
      </c>
      <c r="AS5" s="19" t="inlineStr">
        <is>
          <t>component</t>
        </is>
      </c>
      <c r="AT5" s="48" t="n">
        <v>-6467123.888348622</v>
      </c>
      <c r="AU5" s="48" t="n">
        <v>0</v>
      </c>
      <c r="AV5" s="48" t="n">
        <v>1660776.630200107</v>
      </c>
      <c r="AW5" s="48" t="n">
        <v>0</v>
      </c>
      <c r="AY5" s="19" t="inlineStr">
        <is>
          <t>Services Revenue</t>
        </is>
      </c>
      <c r="AZ5" s="19" t="n">
        <v>4</v>
      </c>
      <c r="BA5" s="19" t="inlineStr">
        <is>
          <t>H1 actual-vs-mechanical residual</t>
        </is>
      </c>
      <c r="BB5" s="124" t="n">
        <v>33850.4381644575</v>
      </c>
      <c r="BC5" s="124" t="n">
        <v>510332.6529005525</v>
      </c>
      <c r="BD5" s="124" t="n">
        <v>0</v>
      </c>
      <c r="BF5" s="19" t="inlineStr">
        <is>
          <t>exit_arr</t>
        </is>
      </c>
      <c r="BG5" s="19" t="inlineStr">
        <is>
          <t>Exit ARR</t>
        </is>
      </c>
      <c r="BH5" s="19" t="inlineStr">
        <is>
          <t>Dec-2026</t>
        </is>
      </c>
      <c r="BI5" s="19" t="inlineStr">
        <is>
          <t>usd</t>
        </is>
      </c>
      <c r="BJ5" s="124" t="n">
        <v>37589315.84</v>
      </c>
      <c r="BK5" s="124" t="n">
        <v>34816416.56479766</v>
      </c>
      <c r="BL5" s="124" t="n">
        <v>-2772899.275202341</v>
      </c>
      <c r="BM5" s="123" t="n">
        <v>-0.0737682826419418</v>
      </c>
      <c r="BN5" s="19" t="inlineStr">
        <is>
          <t>Unfavorable</t>
        </is>
      </c>
      <c r="BO5" s="19" t="inlineStr">
        <is>
          <t>higher_favorable</t>
        </is>
      </c>
      <c r="BP5" s="19" t="n">
        <v>2</v>
      </c>
      <c r="BQ5" s="19" t="b">
        <v>1</v>
      </c>
      <c r="BR5" s="19" t="inlineStr">
        <is>
          <t>fct_arr_budget_bridge</t>
        </is>
      </c>
      <c r="BT5" s="19" t="inlineStr">
        <is>
          <t>Total</t>
        </is>
      </c>
      <c r="BU5" s="19" t="n">
        <v>4</v>
      </c>
      <c r="BV5" s="19" t="inlineStr">
        <is>
          <t>Expansion ARR variance</t>
        </is>
      </c>
      <c r="BW5" s="19" t="inlineStr">
        <is>
          <t>expansion</t>
        </is>
      </c>
      <c r="BX5" s="124" t="n">
        <v>1538102.552951446</v>
      </c>
      <c r="BY5" s="124" t="n">
        <v>36333731.9065159</v>
      </c>
      <c r="BZ5" s="19" t="inlineStr">
        <is>
          <t>source</t>
        </is>
      </c>
      <c r="CA5" s="124" t="n">
        <v>0</v>
      </c>
      <c r="CC5" s="19" t="inlineStr">
        <is>
          <t>General &amp; Administrative</t>
        </is>
      </c>
      <c r="CD5" s="19" t="n">
        <v>5</v>
      </c>
      <c r="CE5" s="19" t="inlineStr">
        <is>
          <t>Base General &amp; Administrative</t>
        </is>
      </c>
      <c r="CF5" s="124" t="n">
        <v>5964659.783758221</v>
      </c>
      <c r="CG5" s="124" t="n">
        <v>5964659.783758221</v>
      </c>
      <c r="CH5" s="124" t="n">
        <v>9.313225746154783e-10</v>
      </c>
    </row>
    <row r="6">
      <c r="A6" s="19" t="n">
        <v>5</v>
      </c>
      <c r="B6" s="19" t="inlineStr">
        <is>
          <t>Reactivation ARR variance</t>
        </is>
      </c>
      <c r="C6" s="19" t="inlineStr">
        <is>
          <t>reactivation</t>
        </is>
      </c>
      <c r="D6" s="124" t="n">
        <v>-88950.32000000004</v>
      </c>
      <c r="E6" s="124" t="n">
        <v>36244781.5865159</v>
      </c>
      <c r="F6" s="124" t="n">
        <v>0</v>
      </c>
      <c r="G6" s="19" t="inlineStr">
        <is>
          <t>component</t>
        </is>
      </c>
      <c r="H6" s="48" t="n">
        <v>36244781.5865159</v>
      </c>
      <c r="I6" s="48" t="n">
        <v>0</v>
      </c>
      <c r="J6" s="48" t="n">
        <v>0</v>
      </c>
      <c r="K6" s="48" t="n">
        <v>88950.32000000004</v>
      </c>
      <c r="N6" s="19" t="n">
        <v>5</v>
      </c>
      <c r="O6" s="19" t="inlineStr">
        <is>
          <t>Services COGS - payroll impact</t>
        </is>
      </c>
      <c r="P6" s="19" t="inlineStr">
        <is>
          <t>usd</t>
        </is>
      </c>
      <c r="Q6" s="124" t="n">
        <v>-44082.68573582219</v>
      </c>
      <c r="R6" s="124" t="n">
        <v>25686479.88611566</v>
      </c>
      <c r="S6" s="124" t="n">
        <v>3.725290298461914e-09</v>
      </c>
      <c r="T6" s="19" t="inlineStr">
        <is>
          <t>component</t>
        </is>
      </c>
      <c r="U6" s="48" t="n">
        <v>25686479.88611566</v>
      </c>
      <c r="V6" s="48" t="n">
        <v>0</v>
      </c>
      <c r="W6" s="48" t="n">
        <v>0</v>
      </c>
      <c r="X6" s="48" t="n">
        <v>44082.68573582219</v>
      </c>
      <c r="AA6" s="19" t="inlineStr">
        <is>
          <t>Total OpEx</t>
        </is>
      </c>
      <c r="AB6" s="19" t="n">
        <v>5</v>
      </c>
      <c r="AC6" s="19" t="inlineStr">
        <is>
          <t>Base Total OpEx</t>
        </is>
      </c>
      <c r="AD6" s="124" t="n">
        <v>31408461.1472469</v>
      </c>
      <c r="AE6" s="124" t="n">
        <v>31408461.1472469</v>
      </c>
      <c r="AF6" s="124" t="n">
        <v>0</v>
      </c>
      <c r="AG6" s="19" t="inlineStr">
        <is>
          <t>result</t>
        </is>
      </c>
      <c r="AH6" s="48" t="n">
        <v>0</v>
      </c>
      <c r="AI6" s="48" t="n">
        <v>31408461.1472469</v>
      </c>
      <c r="AJ6" s="48" t="n">
        <v>0</v>
      </c>
      <c r="AK6" s="48" t="n">
        <v>0</v>
      </c>
      <c r="AN6" s="19" t="n">
        <v>5</v>
      </c>
      <c r="AO6" s="19" t="inlineStr">
        <is>
          <t>Services COGS impact</t>
        </is>
      </c>
      <c r="AP6" s="124" t="n">
        <v>-35790.59573582222</v>
      </c>
      <c r="AQ6" s="124" t="n">
        <v>-4842137.853884337</v>
      </c>
      <c r="AR6" s="124" t="n">
        <v>2.793967723846436e-09</v>
      </c>
      <c r="AS6" s="19" t="inlineStr">
        <is>
          <t>component</t>
        </is>
      </c>
      <c r="AT6" s="48" t="n">
        <v>-4842137.853884337</v>
      </c>
      <c r="AU6" s="48" t="n">
        <v>0</v>
      </c>
      <c r="AV6" s="48" t="n">
        <v>0</v>
      </c>
      <c r="AW6" s="48" t="n">
        <v>35790.59573582222</v>
      </c>
      <c r="AY6" s="19" t="inlineStr">
        <is>
          <t>Services Revenue</t>
        </is>
      </c>
      <c r="AZ6" s="19" t="n">
        <v>5</v>
      </c>
      <c r="BA6" s="19" t="inlineStr">
        <is>
          <t>Base Services Revenue</t>
        </is>
      </c>
      <c r="BB6" s="124" t="n">
        <v>510332.6529005525</v>
      </c>
      <c r="BC6" s="124" t="n">
        <v>510332.6529005525</v>
      </c>
      <c r="BD6" s="124" t="n">
        <v>0</v>
      </c>
      <c r="BF6" s="19" t="inlineStr">
        <is>
          <t>sales_marketing</t>
        </is>
      </c>
      <c r="BG6" s="19" t="inlineStr">
        <is>
          <t>Sales &amp; Marketing</t>
        </is>
      </c>
      <c r="BH6" s="19" t="inlineStr">
        <is>
          <t>FY2026</t>
        </is>
      </c>
      <c r="BI6" s="19" t="inlineStr">
        <is>
          <t>usd</t>
        </is>
      </c>
      <c r="BJ6" s="124" t="n">
        <v>14482767.92</v>
      </c>
      <c r="BK6" s="124" t="n">
        <v>15383920.06136246</v>
      </c>
      <c r="BL6" s="124" t="n">
        <v>901152.1413624622</v>
      </c>
      <c r="BM6" s="123" t="n">
        <v>0.062222369808054</v>
      </c>
      <c r="BN6" s="19" t="inlineStr">
        <is>
          <t>Unfavorable</t>
        </is>
      </c>
      <c r="BO6" s="19" t="inlineStr">
        <is>
          <t>lower_favorable</t>
        </is>
      </c>
      <c r="BP6" s="19" t="n">
        <v>3</v>
      </c>
      <c r="BQ6" s="19" t="b">
        <v>1</v>
      </c>
      <c r="BR6" s="19" t="inlineStr">
        <is>
          <t>int_budget_reforecast_comparison</t>
        </is>
      </c>
      <c r="BT6" s="19" t="inlineStr">
        <is>
          <t>Total</t>
        </is>
      </c>
      <c r="BU6" s="19" t="n">
        <v>5</v>
      </c>
      <c r="BV6" s="19" t="inlineStr">
        <is>
          <t>Reactivation ARR variance</t>
        </is>
      </c>
      <c r="BW6" s="19" t="inlineStr">
        <is>
          <t>reactivation</t>
        </is>
      </c>
      <c r="BX6" s="124" t="n">
        <v>-88950.32000000004</v>
      </c>
      <c r="BY6" s="124" t="n">
        <v>36244781.5865159</v>
      </c>
      <c r="BZ6" s="19" t="inlineStr">
        <is>
          <t>source</t>
        </is>
      </c>
      <c r="CA6" s="124" t="n">
        <v>0</v>
      </c>
      <c r="CC6" s="19" t="inlineStr">
        <is>
          <t>Research &amp; Development</t>
        </is>
      </c>
      <c r="CD6" s="19" t="n">
        <v>1</v>
      </c>
      <c r="CE6" s="19" t="inlineStr">
        <is>
          <t>Budget Research &amp; Development</t>
        </is>
      </c>
      <c r="CF6" s="124" t="n">
        <v>10140310.44</v>
      </c>
      <c r="CG6" s="124" t="n">
        <v>10140310.44</v>
      </c>
      <c r="CH6" s="124" t="n">
        <v>0</v>
      </c>
    </row>
    <row r="7">
      <c r="A7" s="19" t="n">
        <v>6</v>
      </c>
      <c r="B7" s="19" t="inlineStr">
        <is>
          <t>Contraction ARR variance</t>
        </is>
      </c>
      <c r="C7" s="19" t="inlineStr">
        <is>
          <t>contraction</t>
        </is>
      </c>
      <c r="D7" s="124" t="n">
        <v>-1219395.314399192</v>
      </c>
      <c r="E7" s="124" t="n">
        <v>35025386.27211671</v>
      </c>
      <c r="F7" s="124" t="n">
        <v>0</v>
      </c>
      <c r="G7" s="19" t="inlineStr">
        <is>
          <t>component</t>
        </is>
      </c>
      <c r="H7" s="48" t="n">
        <v>35025386.27211671</v>
      </c>
      <c r="I7" s="48" t="n">
        <v>0</v>
      </c>
      <c r="J7" s="48" t="n">
        <v>0</v>
      </c>
      <c r="K7" s="48" t="n">
        <v>1219395.314399192</v>
      </c>
      <c r="N7" s="19" t="n">
        <v>6</v>
      </c>
      <c r="O7" s="19" t="inlineStr">
        <is>
          <t>Services COGS - non-payroll impact</t>
        </is>
      </c>
      <c r="P7" s="19" t="inlineStr">
        <is>
          <t>usd</t>
        </is>
      </c>
      <c r="Q7" s="124" t="n">
        <v>8292.090000000011</v>
      </c>
      <c r="R7" s="124" t="n">
        <v>25694771.97611566</v>
      </c>
      <c r="S7" s="124" t="n">
        <v>3.725290298461914e-09</v>
      </c>
      <c r="T7" s="19" t="inlineStr">
        <is>
          <t>component</t>
        </is>
      </c>
      <c r="U7" s="48" t="n">
        <v>25686479.88611566</v>
      </c>
      <c r="V7" s="48" t="n">
        <v>0</v>
      </c>
      <c r="W7" s="48" t="n">
        <v>8292.090000000011</v>
      </c>
      <c r="X7" s="48" t="n">
        <v>0</v>
      </c>
      <c r="AN7" s="19" t="n">
        <v>6</v>
      </c>
      <c r="AO7" s="19" t="inlineStr">
        <is>
          <t>Sales &amp; Marketing OpEx impact</t>
        </is>
      </c>
      <c r="AP7" s="124" t="n">
        <v>-901152.1413624622</v>
      </c>
      <c r="AQ7" s="124" t="n">
        <v>-5743289.9952468</v>
      </c>
      <c r="AR7" s="124" t="n">
        <v>2.793967723846436e-09</v>
      </c>
      <c r="AS7" s="19" t="inlineStr">
        <is>
          <t>component</t>
        </is>
      </c>
      <c r="AT7" s="48" t="n">
        <v>-5743289.9952468</v>
      </c>
      <c r="AU7" s="48" t="n">
        <v>0</v>
      </c>
      <c r="AV7" s="48" t="n">
        <v>0</v>
      </c>
      <c r="AW7" s="48" t="n">
        <v>901152.1413624622</v>
      </c>
      <c r="AY7" s="19" t="inlineStr">
        <is>
          <t>Subscription Revenue</t>
        </is>
      </c>
      <c r="AZ7" s="19" t="n">
        <v>1</v>
      </c>
      <c r="BA7" s="19" t="inlineStr">
        <is>
          <t>Budget Subscription Revenue</t>
        </is>
      </c>
      <c r="BB7" s="124" t="n">
        <v>32705653.67</v>
      </c>
      <c r="BC7" s="124" t="n">
        <v>32705653.67</v>
      </c>
      <c r="BD7" s="124" t="n">
        <v>0</v>
      </c>
      <c r="BF7" s="19" t="inlineStr">
        <is>
          <t>total_opex</t>
        </is>
      </c>
      <c r="BG7" s="19" t="inlineStr">
        <is>
          <t>Total OpEx</t>
        </is>
      </c>
      <c r="BH7" s="19" t="inlineStr">
        <is>
          <t>FY2026</t>
        </is>
      </c>
      <c r="BI7" s="19" t="inlineStr">
        <is>
          <t>usd</t>
        </is>
      </c>
      <c r="BJ7" s="124" t="n">
        <v>30536909.83</v>
      </c>
      <c r="BK7" s="124" t="n">
        <v>31408461.1472469</v>
      </c>
      <c r="BL7" s="124" t="n">
        <v>871551.317246899</v>
      </c>
      <c r="BM7" s="123" t="n">
        <v>0.0285409139987921</v>
      </c>
      <c r="BN7" s="19" t="inlineStr">
        <is>
          <t>Unfavorable</t>
        </is>
      </c>
      <c r="BO7" s="19" t="inlineStr">
        <is>
          <t>lower_favorable</t>
        </is>
      </c>
      <c r="BP7" s="19" t="n">
        <v>4</v>
      </c>
      <c r="BQ7" s="19" t="b">
        <v>1</v>
      </c>
      <c r="BR7" s="19" t="inlineStr">
        <is>
          <t>int_budget_reforecast_comparison</t>
        </is>
      </c>
      <c r="BT7" s="19" t="inlineStr">
        <is>
          <t>Total</t>
        </is>
      </c>
      <c r="BU7" s="19" t="n">
        <v>6</v>
      </c>
      <c r="BV7" s="19" t="inlineStr">
        <is>
          <t>Contraction ARR variance</t>
        </is>
      </c>
      <c r="BW7" s="19" t="inlineStr">
        <is>
          <t>contraction</t>
        </is>
      </c>
      <c r="BX7" s="124" t="n">
        <v>-1219395.314399192</v>
      </c>
      <c r="BY7" s="124" t="n">
        <v>35025386.27211671</v>
      </c>
      <c r="BZ7" s="19" t="inlineStr">
        <is>
          <t>source</t>
        </is>
      </c>
      <c r="CA7" s="124" t="n">
        <v>0</v>
      </c>
      <c r="CC7" s="19" t="inlineStr">
        <is>
          <t>Research &amp; Development</t>
        </is>
      </c>
      <c r="CD7" s="19" t="n">
        <v>2</v>
      </c>
      <c r="CE7" s="19" t="inlineStr">
        <is>
          <t>Payroll impact</t>
        </is>
      </c>
      <c r="CF7" s="124" t="n">
        <v>103856.0221262146</v>
      </c>
      <c r="CG7" s="124" t="n">
        <v>10244166.46212621</v>
      </c>
      <c r="CH7" s="124" t="n">
        <v>0</v>
      </c>
    </row>
    <row r="8">
      <c r="A8" s="19" t="n">
        <v>7</v>
      </c>
      <c r="B8" s="19" t="inlineStr">
        <is>
          <t>Churn ARR variance</t>
        </is>
      </c>
      <c r="C8" s="19" t="inlineStr">
        <is>
          <t>churn</t>
        </is>
      </c>
      <c r="D8" s="124" t="n">
        <v>-208969.707319044</v>
      </c>
      <c r="E8" s="124" t="n">
        <v>34816416.56479766</v>
      </c>
      <c r="F8" s="124" t="n">
        <v>0</v>
      </c>
      <c r="G8" s="19" t="inlineStr">
        <is>
          <t>component</t>
        </is>
      </c>
      <c r="H8" s="48" t="n">
        <v>34816416.56479766</v>
      </c>
      <c r="I8" s="48" t="n">
        <v>0</v>
      </c>
      <c r="J8" s="48" t="n">
        <v>0</v>
      </c>
      <c r="K8" s="48" t="n">
        <v>208969.707319044</v>
      </c>
      <c r="N8" s="19" t="n">
        <v>7</v>
      </c>
      <c r="O8" s="19" t="inlineStr">
        <is>
          <t>Base Gross Profit</t>
        </is>
      </c>
      <c r="P8" s="19" t="inlineStr">
        <is>
          <t>usd</t>
        </is>
      </c>
      <c r="Q8" s="124" t="n">
        <v>25694771.97611566</v>
      </c>
      <c r="R8" s="124" t="n">
        <v>25694771.97611566</v>
      </c>
      <c r="S8" s="124" t="n">
        <v>3.725290298461914e-09</v>
      </c>
      <c r="T8" s="19" t="inlineStr">
        <is>
          <t>result</t>
        </is>
      </c>
      <c r="U8" s="48" t="n">
        <v>0</v>
      </c>
      <c r="V8" s="48" t="n">
        <v>25694771.97611566</v>
      </c>
      <c r="W8" s="48" t="n">
        <v>0</v>
      </c>
      <c r="X8" s="48" t="n">
        <v>0</v>
      </c>
      <c r="AN8" s="19" t="n">
        <v>7</v>
      </c>
      <c r="AO8" s="19" t="inlineStr">
        <is>
          <t>Research &amp; Development OpEx impact</t>
        </is>
      </c>
      <c r="AP8" s="124" t="n">
        <v>80429.13787378557</v>
      </c>
      <c r="AQ8" s="124" t="n">
        <v>-5662860.857373014</v>
      </c>
      <c r="AR8" s="124" t="n">
        <v>2.793967723846436e-09</v>
      </c>
      <c r="AS8" s="19" t="inlineStr">
        <is>
          <t>component</t>
        </is>
      </c>
      <c r="AT8" s="48" t="n">
        <v>-5743289.9952468</v>
      </c>
      <c r="AU8" s="48" t="n">
        <v>0</v>
      </c>
      <c r="AV8" s="48" t="n">
        <v>80429.13787378557</v>
      </c>
      <c r="AW8" s="48" t="n">
        <v>0</v>
      </c>
      <c r="AY8" s="19" t="inlineStr">
        <is>
          <t>Subscription Revenue</t>
        </is>
      </c>
      <c r="AZ8" s="19" t="n">
        <v>2</v>
      </c>
      <c r="BA8" s="19" t="inlineStr">
        <is>
          <t>Recognition-mechanic effect (lag formula vs. Budget stated)</t>
        </is>
      </c>
      <c r="BB8" s="124" t="n">
        <v>-0.0011666715145111</v>
      </c>
      <c r="BC8" s="124" t="n">
        <v>32705653.66883333</v>
      </c>
      <c r="BD8" s="124" t="n">
        <v>0</v>
      </c>
      <c r="BF8" s="19" t="inlineStr">
        <is>
          <t>total_revenue</t>
        </is>
      </c>
      <c r="BG8" s="19" t="inlineStr">
        <is>
          <t>Revenue</t>
        </is>
      </c>
      <c r="BH8" s="19" t="inlineStr">
        <is>
          <t>FY2026</t>
        </is>
      </c>
      <c r="BI8" s="19" t="inlineStr">
        <is>
          <t>usd</t>
        </is>
      </c>
      <c r="BJ8" s="124" t="n">
        <v>33632627.26</v>
      </c>
      <c r="BK8" s="124" t="n">
        <v>32790970.25165138</v>
      </c>
      <c r="BL8" s="124" t="n">
        <v>-841657.0083486214</v>
      </c>
      <c r="BM8" s="123" t="n">
        <v>-0.0250250151985486</v>
      </c>
      <c r="BN8" s="19" t="inlineStr">
        <is>
          <t>Unfavorable</t>
        </is>
      </c>
      <c r="BO8" s="19" t="inlineStr">
        <is>
          <t>higher_favorable</t>
        </is>
      </c>
      <c r="BP8" s="19" t="n">
        <v>5</v>
      </c>
      <c r="BQ8" s="19" t="b">
        <v>1</v>
      </c>
      <c r="BR8" s="19" t="inlineStr">
        <is>
          <t>int_budget_reforecast_comparison</t>
        </is>
      </c>
      <c r="BT8" s="19" t="inlineStr">
        <is>
          <t>Total</t>
        </is>
      </c>
      <c r="BU8" s="19" t="n">
        <v>7</v>
      </c>
      <c r="BV8" s="19" t="inlineStr">
        <is>
          <t>Churn ARR variance</t>
        </is>
      </c>
      <c r="BW8" s="19" t="inlineStr">
        <is>
          <t>churn</t>
        </is>
      </c>
      <c r="BX8" s="124" t="n">
        <v>-208969.707319044</v>
      </c>
      <c r="BY8" s="124" t="n">
        <v>34816416.56479766</v>
      </c>
      <c r="BZ8" s="19" t="inlineStr">
        <is>
          <t>source</t>
        </is>
      </c>
      <c r="CA8" s="124" t="n">
        <v>0</v>
      </c>
      <c r="CC8" s="19" t="inlineStr">
        <is>
          <t>Research &amp; Development</t>
        </is>
      </c>
      <c r="CD8" s="19" t="n">
        <v>4</v>
      </c>
      <c r="CE8" s="19" t="inlineStr">
        <is>
          <t>Non-payroll run-rate impact</t>
        </is>
      </c>
      <c r="CF8" s="124" t="n">
        <v>-184285.1599999999</v>
      </c>
      <c r="CG8" s="124" t="n">
        <v>10059881.30212621</v>
      </c>
      <c r="CH8" s="124" t="n">
        <v>0</v>
      </c>
    </row>
    <row r="9">
      <c r="A9" s="19" t="n">
        <v>8</v>
      </c>
      <c r="B9" s="19" t="inlineStr">
        <is>
          <t>Base Reforecast Exit ARR</t>
        </is>
      </c>
      <c r="C9" s="19" t="inlineStr">
        <is>
          <t>anchor</t>
        </is>
      </c>
      <c r="D9" s="124" t="n">
        <v>34816416.56479766</v>
      </c>
      <c r="E9" s="124" t="n">
        <v>34816416.56479766</v>
      </c>
      <c r="F9" s="124" t="n">
        <v>0</v>
      </c>
      <c r="G9" s="19" t="inlineStr">
        <is>
          <t>result</t>
        </is>
      </c>
      <c r="H9" s="48" t="n">
        <v>0</v>
      </c>
      <c r="I9" s="48" t="n">
        <v>34816416.56479766</v>
      </c>
      <c r="J9" s="48" t="n">
        <v>0</v>
      </c>
      <c r="K9" s="48" t="n">
        <v>0</v>
      </c>
      <c r="AN9" s="19" t="n">
        <v>8</v>
      </c>
      <c r="AO9" s="19" t="inlineStr">
        <is>
          <t>General &amp; Administrative OpEx impact</t>
        </is>
      </c>
      <c r="AP9" s="124" t="n">
        <v>-50828.31375822145</v>
      </c>
      <c r="AQ9" s="124" t="n">
        <v>-5713689.171131236</v>
      </c>
      <c r="AR9" s="124" t="n">
        <v>2.793967723846436e-09</v>
      </c>
      <c r="AS9" s="19" t="inlineStr">
        <is>
          <t>component</t>
        </is>
      </c>
      <c r="AT9" s="48" t="n">
        <v>-5713689.171131236</v>
      </c>
      <c r="AU9" s="48" t="n">
        <v>0</v>
      </c>
      <c r="AV9" s="48" t="n">
        <v>0</v>
      </c>
      <c r="AW9" s="48" t="n">
        <v>50828.31375822145</v>
      </c>
      <c r="AY9" s="19" t="inlineStr">
        <is>
          <t>Subscription Revenue</t>
        </is>
      </c>
      <c r="AZ9" s="19" t="n">
        <v>3</v>
      </c>
      <c r="BA9" s="19" t="inlineStr">
        <is>
          <t>ARR / recurring-base effect</t>
        </is>
      </c>
      <c r="BB9" s="124" t="n">
        <v>-425016.0790825114</v>
      </c>
      <c r="BC9" s="124" t="n">
        <v>32280637.58975082</v>
      </c>
      <c r="BD9" s="124" t="n">
        <v>0</v>
      </c>
      <c r="BF9" s="19" t="inlineStr">
        <is>
          <t>gross_profit</t>
        </is>
      </c>
      <c r="BG9" s="19" t="inlineStr">
        <is>
          <t>Gross Profit</t>
        </is>
      </c>
      <c r="BH9" s="19" t="inlineStr">
        <is>
          <t>FY2026</t>
        </is>
      </c>
      <c r="BI9" s="19" t="inlineStr">
        <is>
          <t>usd</t>
        </is>
      </c>
      <c r="BJ9" s="124" t="n">
        <v>24911442.95</v>
      </c>
      <c r="BK9" s="124" t="n">
        <v>25694771.97611566</v>
      </c>
      <c r="BL9" s="124" t="n">
        <v>783329.0261156633</v>
      </c>
      <c r="BM9" s="123" t="n">
        <v>0.0314445464956763</v>
      </c>
      <c r="BN9" s="19" t="inlineStr">
        <is>
          <t>Favorable</t>
        </is>
      </c>
      <c r="BO9" s="19" t="inlineStr">
        <is>
          <t>higher_favorable</t>
        </is>
      </c>
      <c r="BP9" s="19" t="n">
        <v>6</v>
      </c>
      <c r="BQ9" s="19" t="b">
        <v>1</v>
      </c>
      <c r="BR9" s="19" t="inlineStr">
        <is>
          <t>fct_gross_profit_bridge</t>
        </is>
      </c>
      <c r="BT9" s="19" t="inlineStr">
        <is>
          <t>Total</t>
        </is>
      </c>
      <c r="BU9" s="19" t="n">
        <v>8</v>
      </c>
      <c r="BV9" s="19" t="inlineStr">
        <is>
          <t>Base Reforecast Exit ARR</t>
        </is>
      </c>
      <c r="BW9" s="19" t="inlineStr">
        <is>
          <t>anchor</t>
        </is>
      </c>
      <c r="BX9" s="124" t="n">
        <v>34816416.56479766</v>
      </c>
      <c r="BY9" s="124" t="n">
        <v>34816416.56479766</v>
      </c>
      <c r="BZ9" s="19" t="inlineStr">
        <is>
          <t>source</t>
        </is>
      </c>
      <c r="CA9" s="124" t="n">
        <v>0</v>
      </c>
      <c r="CC9" s="19" t="inlineStr">
        <is>
          <t>Research &amp; Development</t>
        </is>
      </c>
      <c r="CD9" s="19" t="n">
        <v>5</v>
      </c>
      <c r="CE9" s="19" t="inlineStr">
        <is>
          <t>Base Research &amp; Development</t>
        </is>
      </c>
      <c r="CF9" s="124" t="n">
        <v>10059881.30212621</v>
      </c>
      <c r="CG9" s="124" t="n">
        <v>10059881.30212621</v>
      </c>
      <c r="CH9" s="124" t="n">
        <v>0</v>
      </c>
    </row>
    <row r="10">
      <c r="AN10" s="19" t="n">
        <v>9</v>
      </c>
      <c r="AO10" s="19" t="inlineStr">
        <is>
          <t>Base Operating Income / (Loss)</t>
        </is>
      </c>
      <c r="AP10" s="124" t="n">
        <v>-5713689.171131238</v>
      </c>
      <c r="AQ10" s="124" t="n">
        <v>-5713689.171131238</v>
      </c>
      <c r="AR10" s="124" t="n">
        <v>2.793967723846436e-09</v>
      </c>
      <c r="AS10" s="19" t="inlineStr">
        <is>
          <t>result</t>
        </is>
      </c>
      <c r="AT10" s="48" t="n">
        <v>0</v>
      </c>
      <c r="AU10" s="48" t="n">
        <v>-5713689.171131238</v>
      </c>
      <c r="AV10" s="48" t="n">
        <v>0</v>
      </c>
      <c r="AW10" s="48" t="n">
        <v>0</v>
      </c>
      <c r="AY10" s="19" t="inlineStr">
        <is>
          <t>Subscription Revenue</t>
        </is>
      </c>
      <c r="AZ10" s="19" t="n">
        <v>4</v>
      </c>
      <c r="BA10" s="19" t="inlineStr">
        <is>
          <t>H1 actual-vs-mechanical residual</t>
        </is>
      </c>
      <c r="BB10" s="124" t="n">
        <v>0.0090000033378601</v>
      </c>
      <c r="BC10" s="124" t="n">
        <v>32280637.59875082</v>
      </c>
      <c r="BD10" s="124" t="n">
        <v>0</v>
      </c>
      <c r="BF10" s="19" t="inlineStr">
        <is>
          <t>operating_income</t>
        </is>
      </c>
      <c r="BG10" s="19" t="inlineStr">
        <is>
          <t>Operating Income / (Loss)</t>
        </is>
      </c>
      <c r="BH10" s="19" t="inlineStr">
        <is>
          <t>FY2026</t>
        </is>
      </c>
      <c r="BI10" s="19" t="inlineStr">
        <is>
          <t>usd</t>
        </is>
      </c>
      <c r="BJ10" s="124" t="n">
        <v>-5625466.879999995</v>
      </c>
      <c r="BK10" s="124" t="n">
        <v>-5713689.171131238</v>
      </c>
      <c r="BL10" s="124" t="n">
        <v>-88222.29113124311</v>
      </c>
      <c r="BM10" s="123" t="n">
        <v>-0.0156826611929574</v>
      </c>
      <c r="BN10" s="19" t="inlineStr">
        <is>
          <t>Unfavorable</t>
        </is>
      </c>
      <c r="BO10" s="19" t="inlineStr">
        <is>
          <t>higher_favorable</t>
        </is>
      </c>
      <c r="BP10" s="19" t="n">
        <v>7</v>
      </c>
      <c r="BQ10" s="19" t="b">
        <v>0</v>
      </c>
      <c r="BR10" s="19" t="inlineStr">
        <is>
          <t>fct_operating_income_bridge</t>
        </is>
      </c>
      <c r="BT10" s="19" t="inlineStr">
        <is>
          <t>SMB</t>
        </is>
      </c>
      <c r="BU10" s="19" t="n">
        <v>1</v>
      </c>
      <c r="BV10" s="19" t="inlineStr">
        <is>
          <t>Budget Exit ARR</t>
        </is>
      </c>
      <c r="BW10" s="19" t="inlineStr">
        <is>
          <t>anchor</t>
        </is>
      </c>
      <c r="BX10" s="124" t="n">
        <v>6832655.779748149</v>
      </c>
      <c r="BY10" s="124" t="n">
        <v>6832655.779748149</v>
      </c>
      <c r="BZ10" s="19" t="inlineStr">
        <is>
          <t>allocated</t>
        </is>
      </c>
      <c r="CA10" s="124" t="n">
        <v>0</v>
      </c>
      <c r="CC10" s="19" t="inlineStr">
        <is>
          <t>Sales &amp; Marketing</t>
        </is>
      </c>
      <c r="CD10" s="19" t="n">
        <v>1</v>
      </c>
      <c r="CE10" s="19" t="inlineStr">
        <is>
          <t>Budget Sales &amp; Marketing</t>
        </is>
      </c>
      <c r="CF10" s="124" t="n">
        <v>14482767.92</v>
      </c>
      <c r="CG10" s="124" t="n">
        <v>14482767.92</v>
      </c>
      <c r="CH10" s="124" t="n">
        <v>-1.862645149230957e-09</v>
      </c>
    </row>
    <row r="11">
      <c r="AY11" s="19" t="inlineStr">
        <is>
          <t>Subscription Revenue</t>
        </is>
      </c>
      <c r="AZ11" s="19" t="n">
        <v>5</v>
      </c>
      <c r="BA11" s="19" t="inlineStr">
        <is>
          <t>Base Subscription Revenue</t>
        </is>
      </c>
      <c r="BB11" s="124" t="n">
        <v>32280637.59875082</v>
      </c>
      <c r="BC11" s="124" t="n">
        <v>32280637.59875082</v>
      </c>
      <c r="BD11" s="124" t="n">
        <v>0</v>
      </c>
      <c r="BF11" s="19" t="inlineStr">
        <is>
          <t>research_development</t>
        </is>
      </c>
      <c r="BG11" s="19" t="inlineStr">
        <is>
          <t>Research &amp; Development</t>
        </is>
      </c>
      <c r="BH11" s="19" t="inlineStr">
        <is>
          <t>FY2026</t>
        </is>
      </c>
      <c r="BI11" s="19" t="inlineStr">
        <is>
          <t>usd</t>
        </is>
      </c>
      <c r="BJ11" s="124" t="n">
        <v>10140310.44</v>
      </c>
      <c r="BK11" s="124" t="n">
        <v>10059881.30212621</v>
      </c>
      <c r="BL11" s="124" t="n">
        <v>-80429.13787378557</v>
      </c>
      <c r="BM11" s="123" t="n">
        <v>-0.007931624810668499</v>
      </c>
      <c r="BN11" s="19" t="inlineStr">
        <is>
          <t>Favorable</t>
        </is>
      </c>
      <c r="BO11" s="19" t="inlineStr">
        <is>
          <t>lower_favorable</t>
        </is>
      </c>
      <c r="BP11" s="19" t="n">
        <v>8</v>
      </c>
      <c r="BQ11" s="19" t="b">
        <v>0</v>
      </c>
      <c r="BR11" s="19" t="inlineStr">
        <is>
          <t>int_budget_reforecast_comparison</t>
        </is>
      </c>
      <c r="BT11" s="19" t="inlineStr">
        <is>
          <t>SMB</t>
        </is>
      </c>
      <c r="BU11" s="19" t="n">
        <v>2</v>
      </c>
      <c r="BV11" s="19" t="inlineStr">
        <is>
          <t>Opening ARR variance (31-Dec-2025 actual, identical both sides)</t>
        </is>
      </c>
      <c r="BW11" s="19" t="inlineStr">
        <is>
          <t>opening_arr</t>
        </is>
      </c>
      <c r="BX11" s="124" t="n">
        <v>0</v>
      </c>
      <c r="BY11" s="124" t="n">
        <v>6832655.779748149</v>
      </c>
      <c r="BZ11" s="19" t="inlineStr">
        <is>
          <t>source</t>
        </is>
      </c>
      <c r="CA11" s="124" t="n">
        <v>0</v>
      </c>
      <c r="CC11" s="19" t="inlineStr">
        <is>
          <t>Sales &amp; Marketing</t>
        </is>
      </c>
      <c r="CD11" s="19" t="n">
        <v>2</v>
      </c>
      <c r="CE11" s="19" t="inlineStr">
        <is>
          <t>Payroll impact</t>
        </is>
      </c>
      <c r="CF11" s="124" t="n">
        <v>1834464.247153327</v>
      </c>
      <c r="CG11" s="124" t="n">
        <v>16317232.16715333</v>
      </c>
      <c r="CH11" s="124" t="n">
        <v>-1.862645149230957e-09</v>
      </c>
    </row>
    <row r="12">
      <c r="AY12" s="19" t="inlineStr">
        <is>
          <t>Total Revenue</t>
        </is>
      </c>
      <c r="AZ12" s="19" t="n">
        <v>1</v>
      </c>
      <c r="BA12" s="19" t="inlineStr">
        <is>
          <t>Budget Total Revenue</t>
        </is>
      </c>
      <c r="BB12" s="124" t="n">
        <v>33632627.26000001</v>
      </c>
      <c r="BC12" s="124" t="n">
        <v>33632627.26000001</v>
      </c>
      <c r="BD12" s="124" t="n">
        <v>0</v>
      </c>
      <c r="BF12" s="19" t="inlineStr">
        <is>
          <t>general_administrative</t>
        </is>
      </c>
      <c r="BG12" s="19" t="inlineStr">
        <is>
          <t>General &amp; Administrative</t>
        </is>
      </c>
      <c r="BH12" s="19" t="inlineStr">
        <is>
          <t>FY2026</t>
        </is>
      </c>
      <c r="BI12" s="19" t="inlineStr">
        <is>
          <t>usd</t>
        </is>
      </c>
      <c r="BJ12" s="124" t="n">
        <v>5913831.47</v>
      </c>
      <c r="BK12" s="124" t="n">
        <v>5964659.783758221</v>
      </c>
      <c r="BL12" s="124" t="n">
        <v>50828.31375822145</v>
      </c>
      <c r="BM12" s="123" t="n">
        <v>0.008594819452679</v>
      </c>
      <c r="BN12" s="19" t="inlineStr">
        <is>
          <t>Unfavorable</t>
        </is>
      </c>
      <c r="BO12" s="19" t="inlineStr">
        <is>
          <t>lower_favorable</t>
        </is>
      </c>
      <c r="BP12" s="19" t="n">
        <v>9</v>
      </c>
      <c r="BQ12" s="19" t="b">
        <v>0</v>
      </c>
      <c r="BR12" s="19" t="inlineStr">
        <is>
          <t>int_budget_reforecast_comparison</t>
        </is>
      </c>
      <c r="BT12" s="19" t="inlineStr">
        <is>
          <t>SMB</t>
        </is>
      </c>
      <c r="BU12" s="19" t="n">
        <v>3</v>
      </c>
      <c r="BV12" s="19" t="inlineStr">
        <is>
          <t>New Logo ARR variance</t>
        </is>
      </c>
      <c r="BW12" s="19" t="inlineStr">
        <is>
          <t>new_logo</t>
        </is>
      </c>
      <c r="BX12" s="124" t="n">
        <v>-976401.7382200464</v>
      </c>
      <c r="BY12" s="124" t="n">
        <v>5856254.041528103</v>
      </c>
      <c r="BZ12" s="19" t="inlineStr">
        <is>
          <t>allocated</t>
        </is>
      </c>
      <c r="CA12" s="124" t="n">
        <v>0</v>
      </c>
      <c r="CC12" s="19" t="inlineStr">
        <is>
          <t>Sales &amp; Marketing</t>
        </is>
      </c>
      <c r="CD12" s="19" t="n">
        <v>3</v>
      </c>
      <c r="CE12" s="19" t="inlineStr">
        <is>
          <t>Sales commissions impact</t>
        </is>
      </c>
      <c r="CF12" s="124" t="n">
        <v>-98267.10579086628</v>
      </c>
      <c r="CG12" s="124" t="n">
        <v>16218965.06136246</v>
      </c>
      <c r="CH12" s="124" t="n">
        <v>-1.862645149230957e-09</v>
      </c>
    </row>
    <row r="13">
      <c r="AY13" s="19" t="inlineStr">
        <is>
          <t>Total Revenue</t>
        </is>
      </c>
      <c r="AZ13" s="19" t="n">
        <v>2</v>
      </c>
      <c r="BA13" s="19" t="inlineStr">
        <is>
          <t>Recognition-mechanic + attach-rate effect (combined)</t>
        </is>
      </c>
      <c r="BB13" s="124" t="n">
        <v>-35328.62996063288</v>
      </c>
      <c r="BC13" s="124" t="n">
        <v>33597298.63003937</v>
      </c>
      <c r="BD13" s="124" t="n">
        <v>0</v>
      </c>
      <c r="BT13" s="19" t="inlineStr">
        <is>
          <t>SMB</t>
        </is>
      </c>
      <c r="BU13" s="19" t="n">
        <v>4</v>
      </c>
      <c r="BV13" s="19" t="inlineStr">
        <is>
          <t>Expansion ARR variance</t>
        </is>
      </c>
      <c r="BW13" s="19" t="inlineStr">
        <is>
          <t>expansion</t>
        </is>
      </c>
      <c r="BX13" s="124" t="n">
        <v>-193911.7179862848</v>
      </c>
      <c r="BY13" s="124" t="n">
        <v>5662342.323541818</v>
      </c>
      <c r="BZ13" s="19" t="inlineStr">
        <is>
          <t>allocated</t>
        </is>
      </c>
      <c r="CA13" s="124" t="n">
        <v>0</v>
      </c>
      <c r="CC13" s="19" t="inlineStr">
        <is>
          <t>Sales &amp; Marketing</t>
        </is>
      </c>
      <c r="CD13" s="19" t="n">
        <v>4</v>
      </c>
      <c r="CE13" s="19" t="inlineStr">
        <is>
          <t>Non-payroll run-rate impact</t>
        </is>
      </c>
      <c r="CF13" s="124" t="n">
        <v>-835045.0000000009</v>
      </c>
      <c r="CG13" s="124" t="n">
        <v>15383920.06136246</v>
      </c>
      <c r="CH13" s="124" t="n">
        <v>-1.862645149230957e-09</v>
      </c>
    </row>
    <row r="14">
      <c r="AY14" s="19" t="inlineStr">
        <is>
          <t>Total Revenue</t>
        </is>
      </c>
      <c r="AZ14" s="19" t="n">
        <v>3</v>
      </c>
      <c r="BA14" s="19" t="inlineStr">
        <is>
          <t>ARR / New Logo effect (combined)</t>
        </is>
      </c>
      <c r="BB14" s="124" t="n">
        <v>-840178.825552455</v>
      </c>
      <c r="BC14" s="124" t="n">
        <v>32757119.80448692</v>
      </c>
      <c r="BD14" s="124" t="n">
        <v>0</v>
      </c>
      <c r="BT14" s="19" t="inlineStr">
        <is>
          <t>SMB</t>
        </is>
      </c>
      <c r="BU14" s="19" t="n">
        <v>5</v>
      </c>
      <c r="BV14" s="19" t="inlineStr">
        <is>
          <t>Reactivation ARR variance</t>
        </is>
      </c>
      <c r="BW14" s="19" t="inlineStr">
        <is>
          <t>reactivation</t>
        </is>
      </c>
      <c r="BX14" s="124" t="n">
        <v>64154.89539576996</v>
      </c>
      <c r="BY14" s="124" t="n">
        <v>5726497.218937588</v>
      </c>
      <c r="BZ14" s="19" t="inlineStr">
        <is>
          <t>allocated</t>
        </is>
      </c>
      <c r="CA14" s="124" t="n">
        <v>0</v>
      </c>
      <c r="CC14" s="19" t="inlineStr">
        <is>
          <t>Sales &amp; Marketing</t>
        </is>
      </c>
      <c r="CD14" s="19" t="n">
        <v>5</v>
      </c>
      <c r="CE14" s="19" t="inlineStr">
        <is>
          <t>Base Sales &amp; Marketing</t>
        </is>
      </c>
      <c r="CF14" s="124" t="n">
        <v>15383920.06136246</v>
      </c>
      <c r="CG14" s="124" t="n">
        <v>15383920.06136246</v>
      </c>
      <c r="CH14" s="124" t="n">
        <v>-1.862645149230957e-09</v>
      </c>
    </row>
    <row r="15">
      <c r="AY15" s="19" t="inlineStr">
        <is>
          <t>Total Revenue</t>
        </is>
      </c>
      <c r="AZ15" s="19" t="n">
        <v>4</v>
      </c>
      <c r="BA15" s="19" t="inlineStr">
        <is>
          <t>H1 actual-vs-mechanical residual (combined)</t>
        </is>
      </c>
      <c r="BB15" s="124" t="n">
        <v>33850.44716446084</v>
      </c>
      <c r="BC15" s="124" t="n">
        <v>32790970.25165138</v>
      </c>
      <c r="BD15" s="124" t="n">
        <v>0</v>
      </c>
      <c r="BT15" s="19" t="inlineStr">
        <is>
          <t>SMB</t>
        </is>
      </c>
      <c r="BU15" s="19" t="n">
        <v>6</v>
      </c>
      <c r="BV15" s="19" t="inlineStr">
        <is>
          <t>Contraction ARR variance</t>
        </is>
      </c>
      <c r="BW15" s="19" t="inlineStr">
        <is>
          <t>contraction</t>
        </is>
      </c>
      <c r="BX15" s="124" t="n">
        <v>-45617.8593429903</v>
      </c>
      <c r="BY15" s="124" t="n">
        <v>5680879.359594597</v>
      </c>
      <c r="BZ15" s="19" t="inlineStr">
        <is>
          <t>allocated</t>
        </is>
      </c>
      <c r="CA15" s="124" t="n">
        <v>0</v>
      </c>
      <c r="CC15" s="19" t="inlineStr">
        <is>
          <t>Total OpEx</t>
        </is>
      </c>
      <c r="CD15" s="19" t="n">
        <v>1</v>
      </c>
      <c r="CE15" s="19" t="inlineStr">
        <is>
          <t>Budget Total OpEx</t>
        </is>
      </c>
      <c r="CF15" s="124" t="n">
        <v>30536909.83</v>
      </c>
      <c r="CG15" s="124" t="n">
        <v>30536909.83</v>
      </c>
      <c r="CH15" s="124" t="n">
        <v>0</v>
      </c>
    </row>
    <row r="16">
      <c r="AY16" s="19" t="inlineStr">
        <is>
          <t>Total Revenue</t>
        </is>
      </c>
      <c r="AZ16" s="19" t="n">
        <v>5</v>
      </c>
      <c r="BA16" s="19" t="inlineStr">
        <is>
          <t>Base Total Revenue</t>
        </is>
      </c>
      <c r="BB16" s="124" t="n">
        <v>32790970.25165138</v>
      </c>
      <c r="BC16" s="124" t="n">
        <v>32790970.25165138</v>
      </c>
      <c r="BD16" s="124" t="n">
        <v>0</v>
      </c>
      <c r="BT16" s="19" t="inlineStr">
        <is>
          <t>SMB</t>
        </is>
      </c>
      <c r="BU16" s="19" t="n">
        <v>7</v>
      </c>
      <c r="BV16" s="19" t="inlineStr">
        <is>
          <t>Churn ARR variance</t>
        </is>
      </c>
      <c r="BW16" s="19" t="inlineStr">
        <is>
          <t>churn</t>
        </is>
      </c>
      <c r="BX16" s="124" t="n">
        <v>-848000.0262668706</v>
      </c>
      <c r="BY16" s="124" t="n">
        <v>4832879.333327727</v>
      </c>
      <c r="BZ16" s="19" t="inlineStr">
        <is>
          <t>allocated</t>
        </is>
      </c>
      <c r="CA16" s="124" t="n">
        <v>0</v>
      </c>
      <c r="CC16" s="19" t="inlineStr">
        <is>
          <t>Total OpEx</t>
        </is>
      </c>
      <c r="CD16" s="19" t="n">
        <v>2</v>
      </c>
      <c r="CE16" s="19" t="inlineStr">
        <is>
          <t>Payroll impact (all categories)</t>
        </is>
      </c>
      <c r="CF16" s="124" t="n">
        <v>2409941.953037763</v>
      </c>
      <c r="CG16" s="124" t="n">
        <v>32946851.78303776</v>
      </c>
      <c r="CH16" s="124" t="n">
        <v>0</v>
      </c>
    </row>
    <row r="17">
      <c r="BT17" s="19" t="inlineStr">
        <is>
          <t>SMB</t>
        </is>
      </c>
      <c r="BU17" s="19" t="n">
        <v>8</v>
      </c>
      <c r="BV17" s="19" t="inlineStr">
        <is>
          <t>Base Reforecast Exit ARR</t>
        </is>
      </c>
      <c r="BW17" s="19" t="inlineStr">
        <is>
          <t>anchor</t>
        </is>
      </c>
      <c r="BX17" s="124" t="n">
        <v>4832879.333327727</v>
      </c>
      <c r="BY17" s="124" t="n">
        <v>4832879.333327727</v>
      </c>
      <c r="BZ17" s="19" t="inlineStr">
        <is>
          <t>allocated</t>
        </is>
      </c>
      <c r="CA17" s="124" t="n">
        <v>0</v>
      </c>
      <c r="CC17" s="19" t="inlineStr">
        <is>
          <t>Total OpEx</t>
        </is>
      </c>
      <c r="CD17" s="19" t="n">
        <v>3</v>
      </c>
      <c r="CE17" s="19" t="inlineStr">
        <is>
          <t>Sales commissions impact</t>
        </is>
      </c>
      <c r="CF17" s="124" t="n">
        <v>-98267.10579086628</v>
      </c>
      <c r="CG17" s="124" t="n">
        <v>32848584.6772469</v>
      </c>
      <c r="CH17" s="124" t="n">
        <v>0</v>
      </c>
    </row>
    <row r="18">
      <c r="BT18" s="19" t="inlineStr">
        <is>
          <t>Mid-Market</t>
        </is>
      </c>
      <c r="BU18" s="19" t="n">
        <v>1</v>
      </c>
      <c r="BV18" s="19" t="inlineStr">
        <is>
          <t>Budget Exit ARR</t>
        </is>
      </c>
      <c r="BW18" s="19" t="inlineStr">
        <is>
          <t>anchor</t>
        </is>
      </c>
      <c r="BX18" s="124" t="n">
        <v>16972446.17881376</v>
      </c>
      <c r="BY18" s="124" t="n">
        <v>16972446.17881376</v>
      </c>
      <c r="BZ18" s="19" t="inlineStr">
        <is>
          <t>allocated</t>
        </is>
      </c>
      <c r="CA18" s="124" t="n">
        <v>3.725290298461914e-09</v>
      </c>
      <c r="CC18" s="19" t="inlineStr">
        <is>
          <t>Total OpEx</t>
        </is>
      </c>
      <c r="CD18" s="19" t="n">
        <v>4</v>
      </c>
      <c r="CE18" s="19" t="inlineStr">
        <is>
          <t>Non-payroll run-rate impact (all categories)</t>
        </is>
      </c>
      <c r="CF18" s="124" t="n">
        <v>-1440123.530000001</v>
      </c>
      <c r="CG18" s="124" t="n">
        <v>31408461.1472469</v>
      </c>
      <c r="CH18" s="124" t="n">
        <v>0</v>
      </c>
    </row>
    <row r="19">
      <c r="BT19" s="19" t="inlineStr">
        <is>
          <t>Mid-Market</t>
        </is>
      </c>
      <c r="BU19" s="19" t="n">
        <v>2</v>
      </c>
      <c r="BV19" s="19" t="inlineStr">
        <is>
          <t>Opening ARR variance (31-Dec-2025 actual, identical both sides)</t>
        </is>
      </c>
      <c r="BW19" s="19" t="inlineStr">
        <is>
          <t>opening_arr</t>
        </is>
      </c>
      <c r="BX19" s="124" t="n">
        <v>0</v>
      </c>
      <c r="BY19" s="124" t="n">
        <v>16972446.17881376</v>
      </c>
      <c r="BZ19" s="19" t="inlineStr">
        <is>
          <t>source</t>
        </is>
      </c>
      <c r="CA19" s="124" t="n">
        <v>3.725290298461914e-09</v>
      </c>
      <c r="CC19" s="19" t="inlineStr">
        <is>
          <t>Total OpEx</t>
        </is>
      </c>
      <c r="CD19" s="19" t="n">
        <v>5</v>
      </c>
      <c r="CE19" s="19" t="inlineStr">
        <is>
          <t>Base Total OpEx</t>
        </is>
      </c>
      <c r="CF19" s="124" t="n">
        <v>31408461.1472469</v>
      </c>
      <c r="CG19" s="124" t="n">
        <v>31408461.1472469</v>
      </c>
      <c r="CH19" s="124" t="n">
        <v>0</v>
      </c>
    </row>
    <row r="20">
      <c r="BT20" s="19" t="inlineStr">
        <is>
          <t>Mid-Market</t>
        </is>
      </c>
      <c r="BU20" s="19" t="n">
        <v>3</v>
      </c>
      <c r="BV20" s="19" t="inlineStr">
        <is>
          <t>New Logo ARR variance</t>
        </is>
      </c>
      <c r="BW20" s="19" t="inlineStr">
        <is>
          <t>new_logo</t>
        </is>
      </c>
      <c r="BX20" s="124" t="n">
        <v>-1190580.551930644</v>
      </c>
      <c r="BY20" s="124" t="n">
        <v>15781865.62688312</v>
      </c>
      <c r="BZ20" s="19" t="inlineStr">
        <is>
          <t>allocated</t>
        </is>
      </c>
      <c r="CA20" s="124" t="n">
        <v>3.725290298461914e-09</v>
      </c>
    </row>
    <row r="21">
      <c r="BT21" s="19" t="inlineStr">
        <is>
          <t>Mid-Market</t>
        </is>
      </c>
      <c r="BU21" s="19" t="n">
        <v>4</v>
      </c>
      <c r="BV21" s="19" t="inlineStr">
        <is>
          <t>Expansion ARR variance</t>
        </is>
      </c>
      <c r="BW21" s="19" t="inlineStr">
        <is>
          <t>expansion</t>
        </is>
      </c>
      <c r="BX21" s="124" t="n">
        <v>1862782.685816779</v>
      </c>
      <c r="BY21" s="124" t="n">
        <v>17644648.3126999</v>
      </c>
      <c r="BZ21" s="19" t="inlineStr">
        <is>
          <t>allocated</t>
        </is>
      </c>
      <c r="CA21" s="124" t="n">
        <v>3.725290298461914e-09</v>
      </c>
    </row>
    <row r="22">
      <c r="BT22" s="19" t="inlineStr">
        <is>
          <t>Mid-Market</t>
        </is>
      </c>
      <c r="BU22" s="19" t="n">
        <v>5</v>
      </c>
      <c r="BV22" s="19" t="inlineStr">
        <is>
          <t>Reactivation ARR variance</t>
        </is>
      </c>
      <c r="BW22" s="19" t="inlineStr">
        <is>
          <t>reactivation</t>
        </is>
      </c>
      <c r="BX22" s="124" t="n">
        <v>-76244.93474888007</v>
      </c>
      <c r="BY22" s="124" t="n">
        <v>17568403.37795101</v>
      </c>
      <c r="BZ22" s="19" t="inlineStr">
        <is>
          <t>allocated</t>
        </is>
      </c>
      <c r="CA22" s="124" t="n">
        <v>3.725290298461914e-09</v>
      </c>
    </row>
    <row r="23">
      <c r="BT23" s="19" t="inlineStr">
        <is>
          <t>Mid-Market</t>
        </is>
      </c>
      <c r="BU23" s="19" t="n">
        <v>6</v>
      </c>
      <c r="BV23" s="19" t="inlineStr">
        <is>
          <t>Contraction ARR variance</t>
        </is>
      </c>
      <c r="BW23" s="19" t="inlineStr">
        <is>
          <t>contraction</t>
        </is>
      </c>
      <c r="BX23" s="124" t="n">
        <v>-932760.2868816536</v>
      </c>
      <c r="BY23" s="124" t="n">
        <v>16635643.09106936</v>
      </c>
      <c r="BZ23" s="19" t="inlineStr">
        <is>
          <t>allocated</t>
        </is>
      </c>
      <c r="CA23" s="124" t="n">
        <v>3.725290298461914e-09</v>
      </c>
    </row>
    <row r="24">
      <c r="BT24" s="19" t="inlineStr">
        <is>
          <t>Mid-Market</t>
        </is>
      </c>
      <c r="BU24" s="19" t="n">
        <v>7</v>
      </c>
      <c r="BV24" s="19" t="inlineStr">
        <is>
          <t>Churn ARR variance</t>
        </is>
      </c>
      <c r="BW24" s="19" t="inlineStr">
        <is>
          <t>churn</t>
        </is>
      </c>
      <c r="BX24" s="124" t="n">
        <v>336324.2451862927</v>
      </c>
      <c r="BY24" s="124" t="n">
        <v>16971967.33625565</v>
      </c>
      <c r="BZ24" s="19" t="inlineStr">
        <is>
          <t>allocated</t>
        </is>
      </c>
      <c r="CA24" s="124" t="n">
        <v>3.725290298461914e-09</v>
      </c>
    </row>
    <row r="25">
      <c r="BT25" s="19" t="inlineStr">
        <is>
          <t>Mid-Market</t>
        </is>
      </c>
      <c r="BU25" s="19" t="n">
        <v>8</v>
      </c>
      <c r="BV25" s="19" t="inlineStr">
        <is>
          <t>Base Reforecast Exit ARR</t>
        </is>
      </c>
      <c r="BW25" s="19" t="inlineStr">
        <is>
          <t>anchor</t>
        </is>
      </c>
      <c r="BX25" s="124" t="n">
        <v>16971967.33625565</v>
      </c>
      <c r="BY25" s="124" t="n">
        <v>16971967.33625565</v>
      </c>
      <c r="BZ25" s="19" t="inlineStr">
        <is>
          <t>allocated</t>
        </is>
      </c>
      <c r="CA25" s="124" t="n">
        <v>3.725290298461914e-09</v>
      </c>
    </row>
    <row r="26">
      <c r="BT26" s="19" t="inlineStr">
        <is>
          <t>Enterprise</t>
        </is>
      </c>
      <c r="BU26" s="19" t="n">
        <v>1</v>
      </c>
      <c r="BV26" s="19" t="inlineStr">
        <is>
          <t>Budget Exit ARR</t>
        </is>
      </c>
      <c r="BW26" s="19" t="inlineStr">
        <is>
          <t>anchor</t>
        </is>
      </c>
      <c r="BX26" s="124" t="n">
        <v>13784213.88143809</v>
      </c>
      <c r="BY26" s="124" t="n">
        <v>13784213.88143809</v>
      </c>
      <c r="BZ26" s="19" t="inlineStr">
        <is>
          <t>allocated</t>
        </is>
      </c>
      <c r="CA26" s="124" t="n">
        <v>-1.862645149230957e-09</v>
      </c>
    </row>
    <row r="27">
      <c r="BT27" s="19" t="inlineStr">
        <is>
          <t>Enterprise</t>
        </is>
      </c>
      <c r="BU27" s="19" t="n">
        <v>2</v>
      </c>
      <c r="BV27" s="19" t="inlineStr">
        <is>
          <t>Opening ARR variance (31-Dec-2025 actual, identical both sides)</t>
        </is>
      </c>
      <c r="BW27" s="19" t="inlineStr">
        <is>
          <t>opening_arr</t>
        </is>
      </c>
      <c r="BX27" s="124" t="n">
        <v>0</v>
      </c>
      <c r="BY27" s="124" t="n">
        <v>13784213.88143809</v>
      </c>
      <c r="BZ27" s="19" t="inlineStr">
        <is>
          <t>source</t>
        </is>
      </c>
      <c r="CA27" s="124" t="n">
        <v>-1.862645149230957e-09</v>
      </c>
    </row>
    <row r="28">
      <c r="BT28" s="19" t="inlineStr">
        <is>
          <t>Enterprise</t>
        </is>
      </c>
      <c r="BU28" s="19" t="n">
        <v>3</v>
      </c>
      <c r="BV28" s="19" t="inlineStr">
        <is>
          <t>New Logo ARR variance</t>
        </is>
      </c>
      <c r="BW28" s="19" t="inlineStr">
        <is>
          <t>new_logo</t>
        </is>
      </c>
      <c r="BX28" s="124" t="n">
        <v>-626704.1962848626</v>
      </c>
      <c r="BY28" s="124" t="n">
        <v>13157509.68515323</v>
      </c>
      <c r="BZ28" s="19" t="inlineStr">
        <is>
          <t>allocated</t>
        </is>
      </c>
      <c r="CA28" s="124" t="n">
        <v>-1.862645149230957e-09</v>
      </c>
    </row>
    <row r="29">
      <c r="BT29" s="19" t="inlineStr">
        <is>
          <t>Enterprise</t>
        </is>
      </c>
      <c r="BU29" s="19" t="n">
        <v>4</v>
      </c>
      <c r="BV29" s="19" t="inlineStr">
        <is>
          <t>Expansion ARR variance</t>
        </is>
      </c>
      <c r="BW29" s="19" t="inlineStr">
        <is>
          <t>expansion</t>
        </is>
      </c>
      <c r="BX29" s="124" t="n">
        <v>-130768.4148790462</v>
      </c>
      <c r="BY29" s="124" t="n">
        <v>13026741.27027418</v>
      </c>
      <c r="BZ29" s="19" t="inlineStr">
        <is>
          <t>allocated</t>
        </is>
      </c>
      <c r="CA29" s="124" t="n">
        <v>-1.862645149230957e-09</v>
      </c>
    </row>
    <row r="30">
      <c r="BT30" s="19" t="inlineStr">
        <is>
          <t>Enterprise</t>
        </is>
      </c>
      <c r="BU30" s="19" t="n">
        <v>5</v>
      </c>
      <c r="BV30" s="19" t="inlineStr">
        <is>
          <t>Reactivation ARR variance</t>
        </is>
      </c>
      <c r="BW30" s="19" t="inlineStr">
        <is>
          <t>reactivation</t>
        </is>
      </c>
      <c r="BX30" s="124" t="n">
        <v>-76860.28064688995</v>
      </c>
      <c r="BY30" s="124" t="n">
        <v>12949880.98962729</v>
      </c>
      <c r="BZ30" s="19" t="inlineStr">
        <is>
          <t>allocated</t>
        </is>
      </c>
      <c r="CA30" s="124" t="n">
        <v>-1.862645149230957e-09</v>
      </c>
    </row>
    <row r="31">
      <c r="BT31" s="19" t="inlineStr">
        <is>
          <t>Enterprise</t>
        </is>
      </c>
      <c r="BU31" s="19" t="n">
        <v>6</v>
      </c>
      <c r="BV31" s="19" t="inlineStr">
        <is>
          <t>Contraction ARR variance</t>
        </is>
      </c>
      <c r="BW31" s="19" t="inlineStr">
        <is>
          <t>contraction</t>
        </is>
      </c>
      <c r="BX31" s="124" t="n">
        <v>-241017.1681745474</v>
      </c>
      <c r="BY31" s="124" t="n">
        <v>12708863.82145274</v>
      </c>
      <c r="BZ31" s="19" t="inlineStr">
        <is>
          <t>allocated</t>
        </is>
      </c>
      <c r="CA31" s="124" t="n">
        <v>-1.862645149230957e-09</v>
      </c>
    </row>
    <row r="32">
      <c r="BT32" s="19" t="inlineStr">
        <is>
          <t>Enterprise</t>
        </is>
      </c>
      <c r="BU32" s="19" t="n">
        <v>7</v>
      </c>
      <c r="BV32" s="19" t="inlineStr">
        <is>
          <t>Churn ARR variance</t>
        </is>
      </c>
      <c r="BW32" s="19" t="inlineStr">
        <is>
          <t>churn</t>
        </is>
      </c>
      <c r="BX32" s="124" t="n">
        <v>302706.0737615341</v>
      </c>
      <c r="BY32" s="124" t="n">
        <v>13011569.89521428</v>
      </c>
      <c r="BZ32" s="19" t="inlineStr">
        <is>
          <t>allocated</t>
        </is>
      </c>
      <c r="CA32" s="124" t="n">
        <v>-1.862645149230957e-09</v>
      </c>
    </row>
    <row r="33">
      <c r="BT33" s="19" t="inlineStr">
        <is>
          <t>Enterprise</t>
        </is>
      </c>
      <c r="BU33" s="19" t="n">
        <v>8</v>
      </c>
      <c r="BV33" s="19" t="inlineStr">
        <is>
          <t>Base Reforecast Exit ARR</t>
        </is>
      </c>
      <c r="BW33" s="19" t="inlineStr">
        <is>
          <t>anchor</t>
        </is>
      </c>
      <c r="BX33" s="124" t="n">
        <v>13011569.89521428</v>
      </c>
      <c r="BY33" s="124" t="n">
        <v>13011569.89521428</v>
      </c>
      <c r="BZ33" s="19" t="inlineStr">
        <is>
          <t>allocated</t>
        </is>
      </c>
      <c r="CA33" s="124" t="n">
        <v>-1.862645149230957e-09</v>
      </c>
    </row>
  </sheetData>
  <pageMargins left="0.75" right="0.75" top="1" bottom="1" header="0.5" footer="0.5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27" customWidth="1" min="4" max="4"/>
    <col width="21" customWidth="1" min="5" max="5"/>
    <col width="17" customWidth="1" min="6" max="6"/>
    <col width="17" customWidth="1" min="7" max="7"/>
    <col width="27" customWidth="1" min="8" max="8"/>
    <col width="24" customWidth="1" min="9" max="9"/>
    <col width="19" customWidth="1" min="10" max="10"/>
    <col width="29" customWidth="1" min="11" max="11"/>
    <col width="18" customWidth="1" min="12" max="12"/>
    <col width="23" customWidth="1" min="13" max="13"/>
    <col width="25" customWidth="1" min="14" max="14"/>
    <col width="32" customWidth="1" min="15" max="15"/>
    <col width="33" customWidth="1" min="16" max="16"/>
    <col width="24" customWidth="1" min="17" max="17"/>
    <col width="18" customWidth="1" min="19" max="19"/>
    <col width="15" customWidth="1" min="20" max="20"/>
    <col width="12" customWidth="1" min="21" max="21"/>
    <col width="12" customWidth="1" min="22" max="22"/>
    <col width="12" customWidth="1" min="23" max="23"/>
    <col width="19" customWidth="1" min="26" max="26"/>
    <col width="15" customWidth="1" min="27" max="27"/>
    <col width="12" customWidth="1" min="28" max="28"/>
    <col width="12" customWidth="1" min="29" max="29"/>
    <col width="15" customWidth="1" min="30" max="30"/>
    <col width="12" customWidth="1" min="31" max="31"/>
    <col width="12" customWidth="1" min="32" max="32"/>
    <col width="12" customWidth="1" min="33" max="33"/>
  </cols>
  <sheetData>
    <row r="1">
      <c r="A1" s="137" t="inlineStr">
        <is>
          <t>scenario</t>
        </is>
      </c>
      <c r="B1" s="136" t="inlineStr">
        <is>
          <t>dec_2026_exit_arr</t>
        </is>
      </c>
      <c r="C1" s="136" t="inlineStr">
        <is>
          <t>fy2026_revenue</t>
        </is>
      </c>
      <c r="D1" s="136" t="inlineStr">
        <is>
          <t>fy2026_operating_income</t>
        </is>
      </c>
      <c r="E1" s="136" t="inlineStr">
        <is>
          <t>dec_2027_exit_arr</t>
        </is>
      </c>
      <c r="F1" s="136" t="inlineStr">
        <is>
          <t>dec_2026_cash</t>
        </is>
      </c>
      <c r="G1" s="136" t="inlineStr">
        <is>
          <t>dec_2027_cash</t>
        </is>
      </c>
      <c r="H1" s="136" t="inlineStr">
        <is>
          <t>policy_avg_monthly_burn</t>
        </is>
      </c>
      <c r="I1" s="136" t="inlineStr">
        <is>
          <t>policy_runway_months</t>
        </is>
      </c>
      <c r="J1" s="136" t="inlineStr">
        <is>
          <t>headroom_months</t>
        </is>
      </c>
      <c r="K1" s="136" t="inlineStr">
        <is>
          <t>board_runway_floor_months</t>
        </is>
      </c>
      <c r="L1" s="136" t="inlineStr">
        <is>
          <t>breaches_floor</t>
        </is>
      </c>
      <c r="M1" s="136" t="inlineStr">
        <is>
          <t>win_rate_multiplier</t>
        </is>
      </c>
      <c r="N1" s="136" t="inlineStr">
        <is>
          <t>attainment_multiplier</t>
        </is>
      </c>
      <c r="O1" s="136" t="inlineStr">
        <is>
          <t>pipeline_creation_multiplier</t>
        </is>
      </c>
      <c r="P1" s="136" t="inlineStr">
        <is>
          <t>retention_severity_multiplier</t>
        </is>
      </c>
      <c r="Q1" s="136" t="inlineStr">
        <is>
          <t>expansion_multiplier</t>
        </is>
      </c>
      <c r="S1" s="136" t="inlineStr">
        <is>
          <t>month_end_date</t>
        </is>
      </c>
      <c r="T1" s="136" t="inlineStr">
        <is>
          <t>month_label</t>
        </is>
      </c>
      <c r="U1" s="136" t="inlineStr">
        <is>
          <t>Bear</t>
        </is>
      </c>
      <c r="V1" s="136" t="inlineStr">
        <is>
          <t>Base</t>
        </is>
      </c>
      <c r="W1" s="136" t="inlineStr">
        <is>
          <t>Bull</t>
        </is>
      </c>
      <c r="Z1" s="136" t="inlineStr">
        <is>
          <t>driver_category</t>
        </is>
      </c>
      <c r="AA1" s="136" t="inlineStr">
        <is>
          <t>driver_name</t>
        </is>
      </c>
      <c r="AB1" s="136" t="inlineStr">
        <is>
          <t>segment</t>
        </is>
      </c>
      <c r="AC1" s="136" t="inlineStr">
        <is>
          <t>unit</t>
        </is>
      </c>
      <c r="AD1" s="136" t="inlineStr">
        <is>
          <t>source_type</t>
        </is>
      </c>
      <c r="AE1" s="136" t="inlineStr">
        <is>
          <t>Bear</t>
        </is>
      </c>
      <c r="AF1" s="136" t="inlineStr">
        <is>
          <t>Base</t>
        </is>
      </c>
      <c r="AG1" s="136" t="inlineStr">
        <is>
          <t>Bull</t>
        </is>
      </c>
    </row>
    <row r="2">
      <c r="A2" s="19" t="inlineStr">
        <is>
          <t>Bear</t>
        </is>
      </c>
      <c r="B2" s="48" t="n">
        <v>33553421.70294353</v>
      </c>
      <c r="C2" s="48" t="n">
        <v>32571935.84232377</v>
      </c>
      <c r="D2" s="48" t="n">
        <v>-5910400.124143494</v>
      </c>
      <c r="E2" s="48" t="n">
        <v>37456821.81146927</v>
      </c>
      <c r="F2" s="48" t="n">
        <v>18740895.81132306</v>
      </c>
      <c r="G2" s="48" t="n">
        <v>14396514.01234332</v>
      </c>
      <c r="H2" s="48" t="n">
        <v>926092.1122789808</v>
      </c>
      <c r="I2" s="118" t="n">
        <v>23.53977505148305</v>
      </c>
      <c r="J2" s="109" t="n">
        <v>-0.4602249485169452</v>
      </c>
      <c r="K2" s="118" t="n">
        <v>24</v>
      </c>
      <c r="L2" s="19" t="inlineStr">
        <is>
          <t>Yes</t>
        </is>
      </c>
      <c r="M2" s="63" t="n">
        <v>0.85</v>
      </c>
      <c r="N2" s="63" t="n">
        <v>0.85</v>
      </c>
      <c r="O2" s="63" t="n">
        <v>0.8</v>
      </c>
      <c r="P2" s="63" t="n">
        <v>1.2</v>
      </c>
      <c r="Q2" s="63" t="n">
        <v>0.85</v>
      </c>
      <c r="S2" s="138" t="n">
        <v>46053</v>
      </c>
      <c r="T2" s="19" t="inlineStr">
        <is>
          <t>Jan-26</t>
        </is>
      </c>
      <c r="U2" s="48" t="n">
        <v>30180849.36</v>
      </c>
      <c r="V2" s="48" t="n">
        <v>30180849.36</v>
      </c>
      <c r="W2" s="48" t="n">
        <v>30180849.36</v>
      </c>
      <c r="Z2" s="19" t="inlineStr">
        <is>
          <t>new_logo</t>
        </is>
      </c>
      <c r="AA2" s="19" t="inlineStr">
        <is>
          <t>attainment_multiplier</t>
        </is>
      </c>
      <c r="AB2" s="19" t="inlineStr">
        <is>
          <t>All</t>
        </is>
      </c>
      <c r="AC2" s="19" t="inlineStr">
        <is>
          <t>multiplier</t>
        </is>
      </c>
      <c r="AD2" s="19" t="inlineStr">
        <is>
          <t>management_assumption</t>
        </is>
      </c>
      <c r="AE2" s="139" t="n">
        <v>0.85</v>
      </c>
      <c r="AF2" s="139" t="n">
        <v>1</v>
      </c>
      <c r="AG2" s="139" t="n">
        <v>1.15</v>
      </c>
    </row>
    <row r="3">
      <c r="A3" s="19" t="inlineStr">
        <is>
          <t>Base</t>
        </is>
      </c>
      <c r="B3" s="48" t="n">
        <v>34816416.56479766</v>
      </c>
      <c r="C3" s="48" t="n">
        <v>32790970.25165137</v>
      </c>
      <c r="D3" s="48" t="n">
        <v>-5713689.171131236</v>
      </c>
      <c r="E3" s="48" t="n">
        <v>41566296.05586515</v>
      </c>
      <c r="F3" s="48" t="n">
        <v>18845495.34254299</v>
      </c>
      <c r="G3" s="48" t="n">
        <v>16895401.66056322</v>
      </c>
      <c r="H3" s="48" t="n">
        <v>850000</v>
      </c>
      <c r="I3" s="118" t="n">
        <v>25.64705882352941</v>
      </c>
      <c r="J3" s="109" t="n">
        <v>1.647058823529413</v>
      </c>
      <c r="K3" s="118" t="n">
        <v>24</v>
      </c>
      <c r="L3" s="19" t="inlineStr">
        <is>
          <t>No</t>
        </is>
      </c>
      <c r="M3" s="63" t="n">
        <v>1</v>
      </c>
      <c r="N3" s="63" t="n">
        <v>1</v>
      </c>
      <c r="O3" s="63" t="n">
        <v>1</v>
      </c>
      <c r="P3" s="63" t="n">
        <v>1</v>
      </c>
      <c r="Q3" s="63" t="n">
        <v>1</v>
      </c>
      <c r="S3" s="138" t="n">
        <v>46081</v>
      </c>
      <c r="T3" s="19" t="inlineStr">
        <is>
          <t>Feb-26</t>
        </is>
      </c>
      <c r="U3" s="48" t="n">
        <v>30578224.92</v>
      </c>
      <c r="V3" s="48" t="n">
        <v>30578224.92</v>
      </c>
      <c r="W3" s="48" t="n">
        <v>30578224.92</v>
      </c>
      <c r="Z3" s="19" t="inlineStr">
        <is>
          <t>expansion</t>
        </is>
      </c>
      <c r="AA3" s="19" t="inlineStr">
        <is>
          <t>monthly_rate_of_beginning_arr</t>
        </is>
      </c>
      <c r="AB3" s="19" t="inlineStr">
        <is>
          <t>Enterprise</t>
        </is>
      </c>
      <c r="AC3" s="19" t="inlineStr">
        <is>
          <t>rate</t>
        </is>
      </c>
      <c r="AD3" s="19" t="inlineStr">
        <is>
          <t>historical</t>
        </is>
      </c>
      <c r="AE3" s="139" t="n">
        <v>0.008006900195336401</v>
      </c>
      <c r="AF3" s="139" t="n">
        <v>0.009419882582748699</v>
      </c>
      <c r="AG3" s="139" t="n">
        <v>0.0113038590992984</v>
      </c>
    </row>
    <row r="4">
      <c r="A4" s="19" t="inlineStr">
        <is>
          <t>Bull</t>
        </is>
      </c>
      <c r="B4" s="48" t="n">
        <v>36123036.63015182</v>
      </c>
      <c r="C4" s="48" t="n">
        <v>33024317.95014933</v>
      </c>
      <c r="D4" s="48" t="n">
        <v>-5507025.088939572</v>
      </c>
      <c r="E4" s="48" t="n">
        <v>46032954.52691905</v>
      </c>
      <c r="F4" s="48" t="n">
        <v>18953992.75157869</v>
      </c>
      <c r="G4" s="48" t="n">
        <v>19513485.40707523</v>
      </c>
      <c r="H4" s="48" t="n">
        <v>771318.4349855309</v>
      </c>
      <c r="I4" s="118" t="n">
        <v>28.26329439462826</v>
      </c>
      <c r="J4" s="109" t="n">
        <v>4.263294394628264</v>
      </c>
      <c r="K4" s="118" t="n">
        <v>24</v>
      </c>
      <c r="L4" s="19" t="inlineStr">
        <is>
          <t>No</t>
        </is>
      </c>
      <c r="M4" s="63" t="n">
        <v>1.15</v>
      </c>
      <c r="N4" s="63" t="n">
        <v>1.15</v>
      </c>
      <c r="O4" s="63" t="n">
        <v>1.25</v>
      </c>
      <c r="P4" s="63" t="n">
        <v>0.85</v>
      </c>
      <c r="Q4" s="63" t="n">
        <v>1.2</v>
      </c>
      <c r="S4" s="138" t="n">
        <v>46112</v>
      </c>
      <c r="T4" s="19" t="inlineStr">
        <is>
          <t>Mar-26</t>
        </is>
      </c>
      <c r="U4" s="48" t="n">
        <v>30837429.36</v>
      </c>
      <c r="V4" s="48" t="n">
        <v>30837429.36</v>
      </c>
      <c r="W4" s="48" t="n">
        <v>30837429.36</v>
      </c>
      <c r="Z4" s="19" t="inlineStr">
        <is>
          <t>expansion</t>
        </is>
      </c>
      <c r="AA4" s="19" t="inlineStr">
        <is>
          <t>monthly_rate_of_beginning_arr</t>
        </is>
      </c>
      <c r="AB4" s="19" t="inlineStr">
        <is>
          <t>Mid-Market</t>
        </is>
      </c>
      <c r="AC4" s="19" t="inlineStr">
        <is>
          <t>rate</t>
        </is>
      </c>
      <c r="AD4" s="19" t="inlineStr">
        <is>
          <t>historical</t>
        </is>
      </c>
      <c r="AE4" s="139" t="n">
        <v>0.0188713686323459</v>
      </c>
      <c r="AF4" s="139" t="n">
        <v>0.0222016101557011</v>
      </c>
      <c r="AG4" s="139" t="n">
        <v>0.0266419321868413</v>
      </c>
    </row>
    <row r="5">
      <c r="S5" s="138" t="n">
        <v>46142</v>
      </c>
      <c r="T5" s="19" t="inlineStr">
        <is>
          <t>Apr-26</t>
        </is>
      </c>
      <c r="U5" s="48" t="n">
        <v>31447353.84</v>
      </c>
      <c r="V5" s="48" t="n">
        <v>31447353.84</v>
      </c>
      <c r="W5" s="48" t="n">
        <v>31447353.84</v>
      </c>
      <c r="Z5" s="19" t="inlineStr">
        <is>
          <t>expansion</t>
        </is>
      </c>
      <c r="AA5" s="19" t="inlineStr">
        <is>
          <t>monthly_rate_of_beginning_arr</t>
        </is>
      </c>
      <c r="AB5" s="19" t="inlineStr">
        <is>
          <t>SMB</t>
        </is>
      </c>
      <c r="AC5" s="19" t="inlineStr">
        <is>
          <t>rate</t>
        </is>
      </c>
      <c r="AD5" s="19" t="inlineStr">
        <is>
          <t>historical</t>
        </is>
      </c>
      <c r="AE5" s="139" t="n">
        <v>0.008884785617629801</v>
      </c>
      <c r="AF5" s="139" t="n">
        <v>0.0104526889619175</v>
      </c>
      <c r="AG5" s="139" t="n">
        <v>0.012543226754301</v>
      </c>
    </row>
    <row r="6">
      <c r="S6" s="138" t="n">
        <v>46173</v>
      </c>
      <c r="T6" s="19" t="inlineStr">
        <is>
          <t>May-26</t>
        </is>
      </c>
      <c r="U6" s="48" t="n">
        <v>32493210.36</v>
      </c>
      <c r="V6" s="48" t="n">
        <v>32493210.36</v>
      </c>
      <c r="W6" s="48" t="n">
        <v>32493210.36</v>
      </c>
      <c r="Z6" s="19" t="inlineStr">
        <is>
          <t>margin</t>
        </is>
      </c>
      <c r="AA6" s="19" t="inlineStr">
        <is>
          <t>services_cogs_pct_of_revenue</t>
        </is>
      </c>
      <c r="AB6" s="19" t="inlineStr">
        <is>
          <t>All</t>
        </is>
      </c>
      <c r="AC6" s="19" t="inlineStr">
        <is>
          <t>rate</t>
        </is>
      </c>
      <c r="AD6" s="19" t="inlineStr">
        <is>
          <t>historical</t>
        </is>
      </c>
      <c r="AE6" s="139" t="n"/>
      <c r="AF6" s="139" t="n"/>
      <c r="AG6" s="139" t="n"/>
    </row>
    <row r="7">
      <c r="S7" s="138" t="n">
        <v>46203</v>
      </c>
      <c r="T7" s="19" t="inlineStr">
        <is>
          <t>Jun-26</t>
        </is>
      </c>
      <c r="U7" s="48" t="n">
        <v>33016720.32</v>
      </c>
      <c r="V7" s="48" t="n">
        <v>33016720.32</v>
      </c>
      <c r="W7" s="48" t="n">
        <v>33016720.32</v>
      </c>
      <c r="Z7" s="19" t="inlineStr">
        <is>
          <t>margin</t>
        </is>
      </c>
      <c r="AA7" s="19" t="inlineStr">
        <is>
          <t>subscription_cogs_pct_of_revenue</t>
        </is>
      </c>
      <c r="AB7" s="19" t="inlineStr">
        <is>
          <t>All</t>
        </is>
      </c>
      <c r="AC7" s="19" t="inlineStr">
        <is>
          <t>rate</t>
        </is>
      </c>
      <c r="AD7" s="19" t="inlineStr">
        <is>
          <t>historical</t>
        </is>
      </c>
      <c r="AE7" s="139" t="n"/>
      <c r="AF7" s="139" t="n"/>
      <c r="AG7" s="139" t="n"/>
    </row>
    <row r="8">
      <c r="S8" s="138" t="n">
        <v>46234</v>
      </c>
      <c r="T8" s="19" t="inlineStr">
        <is>
          <t>Jul-26</t>
        </is>
      </c>
      <c r="U8" s="48" t="n">
        <v>33488106.73001782</v>
      </c>
      <c r="V8" s="48" t="n">
        <v>33671666.72031779</v>
      </c>
      <c r="W8" s="48" t="n">
        <v>33868561.09347535</v>
      </c>
      <c r="Z8" s="19" t="inlineStr">
        <is>
          <t>new_logo</t>
        </is>
      </c>
      <c r="AA8" s="19" t="inlineStr">
        <is>
          <t>win_rate</t>
        </is>
      </c>
      <c r="AB8" s="19" t="inlineStr">
        <is>
          <t>Enterprise</t>
        </is>
      </c>
      <c r="AC8" s="19" t="inlineStr">
        <is>
          <t>rate</t>
        </is>
      </c>
      <c r="AD8" s="19" t="inlineStr">
        <is>
          <t>historical</t>
        </is>
      </c>
      <c r="AE8" s="139" t="n">
        <v>0.10625</v>
      </c>
      <c r="AF8" s="139" t="n">
        <v>0.125</v>
      </c>
      <c r="AG8" s="139" t="n">
        <v>0.14375</v>
      </c>
    </row>
    <row r="9">
      <c r="S9" s="138" t="n">
        <v>46265</v>
      </c>
      <c r="T9" s="19" t="inlineStr">
        <is>
          <t>Aug-26</t>
        </is>
      </c>
      <c r="U9" s="48" t="n">
        <v>33655579.61198955</v>
      </c>
      <c r="V9" s="48" t="n">
        <v>33985619.40904452</v>
      </c>
      <c r="W9" s="48" t="n">
        <v>34340318.13278702</v>
      </c>
      <c r="Z9" s="19" t="inlineStr">
        <is>
          <t>new_logo</t>
        </is>
      </c>
      <c r="AA9" s="19" t="inlineStr">
        <is>
          <t>win_rate</t>
        </is>
      </c>
      <c r="AB9" s="19" t="inlineStr">
        <is>
          <t>Mid-Market</t>
        </is>
      </c>
      <c r="AC9" s="19" t="inlineStr">
        <is>
          <t>rate</t>
        </is>
      </c>
      <c r="AD9" s="19" t="inlineStr">
        <is>
          <t>historical</t>
        </is>
      </c>
      <c r="AE9" s="139" t="n">
        <v>0.1519323671497584</v>
      </c>
      <c r="AF9" s="139" t="n">
        <v>0.178743961352657</v>
      </c>
      <c r="AG9" s="139" t="n">
        <v>0.2055555555555555</v>
      </c>
    </row>
    <row r="10">
      <c r="S10" s="138" t="n">
        <v>46295</v>
      </c>
      <c r="T10" s="19" t="inlineStr">
        <is>
          <t>Sep-26</t>
        </is>
      </c>
      <c r="U10" s="48" t="n">
        <v>33760422.62677783</v>
      </c>
      <c r="V10" s="48" t="n">
        <v>34227398.18838455</v>
      </c>
      <c r="W10" s="48" t="n">
        <v>34730174.07133661</v>
      </c>
      <c r="Z10" s="19" t="inlineStr">
        <is>
          <t>new_logo</t>
        </is>
      </c>
      <c r="AA10" s="19" t="inlineStr">
        <is>
          <t>win_rate</t>
        </is>
      </c>
      <c r="AB10" s="19" t="inlineStr">
        <is>
          <t>SMB</t>
        </is>
      </c>
      <c r="AC10" s="19" t="inlineStr">
        <is>
          <t>rate</t>
        </is>
      </c>
      <c r="AD10" s="19" t="inlineStr">
        <is>
          <t>historical</t>
        </is>
      </c>
      <c r="AE10" s="139" t="n">
        <v>0.2222120658135283</v>
      </c>
      <c r="AF10" s="139" t="n">
        <v>0.2614259597806215</v>
      </c>
      <c r="AG10" s="139" t="n">
        <v>0.3006398537477147</v>
      </c>
    </row>
    <row r="11">
      <c r="S11" s="138" t="n">
        <v>46326</v>
      </c>
      <c r="T11" s="19" t="inlineStr">
        <is>
          <t>Oct-26</t>
        </is>
      </c>
      <c r="U11" s="48" t="n">
        <v>33767560.74630732</v>
      </c>
      <c r="V11" s="48" t="n">
        <v>34388015.77012163</v>
      </c>
      <c r="W11" s="48" t="n">
        <v>35051309.95603966</v>
      </c>
      <c r="Z11" s="19" t="inlineStr">
        <is>
          <t>opex</t>
        </is>
      </c>
      <c r="AA11" s="19" t="inlineStr">
        <is>
          <t>payroll_cost_per_fte_monthly</t>
        </is>
      </c>
      <c r="AB11" s="19" t="inlineStr">
        <is>
          <t>Customer Success</t>
        </is>
      </c>
      <c r="AC11" s="19" t="inlineStr">
        <is>
          <t>usd_per_month</t>
        </is>
      </c>
      <c r="AD11" s="19" t="inlineStr">
        <is>
          <t>historical</t>
        </is>
      </c>
      <c r="AE11" s="139" t="n"/>
      <c r="AF11" s="139" t="n"/>
      <c r="AG11" s="139" t="n"/>
    </row>
    <row r="12">
      <c r="S12" s="138" t="n">
        <v>46356</v>
      </c>
      <c r="T12" s="19" t="inlineStr">
        <is>
          <t>Nov-26</t>
        </is>
      </c>
      <c r="U12" s="48" t="n">
        <v>33869859.39971912</v>
      </c>
      <c r="V12" s="48" t="n">
        <v>34776456.20934794</v>
      </c>
      <c r="W12" s="48" t="n">
        <v>35733548.15358581</v>
      </c>
      <c r="Z12" s="19" t="inlineStr">
        <is>
          <t>opex</t>
        </is>
      </c>
      <c r="AA12" s="19" t="inlineStr">
        <is>
          <t>payroll_cost_per_fte_monthly</t>
        </is>
      </c>
      <c r="AB12" s="19" t="inlineStr">
        <is>
          <t>Engineering</t>
        </is>
      </c>
      <c r="AC12" s="19" t="inlineStr">
        <is>
          <t>usd_per_month</t>
        </is>
      </c>
      <c r="AD12" s="19" t="inlineStr">
        <is>
          <t>historical</t>
        </is>
      </c>
      <c r="AE12" s="139" t="n"/>
      <c r="AF12" s="139" t="n"/>
      <c r="AG12" s="139" t="n"/>
    </row>
    <row r="13">
      <c r="S13" s="138" t="n">
        <v>46387</v>
      </c>
      <c r="T13" s="19" t="inlineStr">
        <is>
          <t>Dec-26</t>
        </is>
      </c>
      <c r="U13" s="48" t="n">
        <v>33553421.70294353</v>
      </c>
      <c r="V13" s="48" t="n">
        <v>34816416.56479766</v>
      </c>
      <c r="W13" s="48" t="n">
        <v>36123036.63015182</v>
      </c>
      <c r="Z13" s="19" t="inlineStr">
        <is>
          <t>opex</t>
        </is>
      </c>
      <c r="AA13" s="19" t="inlineStr">
        <is>
          <t>payroll_cost_per_fte_monthly</t>
        </is>
      </c>
      <c r="AB13" s="19" t="inlineStr">
        <is>
          <t>G&amp;A</t>
        </is>
      </c>
      <c r="AC13" s="19" t="inlineStr">
        <is>
          <t>usd_per_month</t>
        </is>
      </c>
      <c r="AD13" s="19" t="inlineStr">
        <is>
          <t>historical</t>
        </is>
      </c>
      <c r="AE13" s="139" t="n"/>
      <c r="AF13" s="139" t="n"/>
      <c r="AG13" s="139" t="n"/>
    </row>
    <row r="14">
      <c r="S14" s="138" t="n">
        <v>46418</v>
      </c>
      <c r="T14" s="19" t="inlineStr">
        <is>
          <t>Jan-27</t>
        </is>
      </c>
      <c r="U14" s="48" t="n">
        <v>33386344.05273684</v>
      </c>
      <c r="V14" s="48" t="n">
        <v>34980843.62572146</v>
      </c>
      <c r="W14" s="48" t="n">
        <v>36615401.63381295</v>
      </c>
      <c r="Z14" s="19" t="inlineStr">
        <is>
          <t>opex</t>
        </is>
      </c>
      <c r="AA14" s="19" t="inlineStr">
        <is>
          <t>payroll_cost_per_fte_monthly</t>
        </is>
      </c>
      <c r="AB14" s="19" t="inlineStr">
        <is>
          <t>Marketing</t>
        </is>
      </c>
      <c r="AC14" s="19" t="inlineStr">
        <is>
          <t>usd_per_month</t>
        </is>
      </c>
      <c r="AD14" s="19" t="inlineStr">
        <is>
          <t>historical</t>
        </is>
      </c>
      <c r="AE14" s="139" t="n"/>
      <c r="AF14" s="139" t="n"/>
      <c r="AG14" s="139" t="n"/>
    </row>
    <row r="15">
      <c r="S15" s="138" t="n">
        <v>46446</v>
      </c>
      <c r="T15" s="19" t="inlineStr">
        <is>
          <t>Feb-27</t>
        </is>
      </c>
      <c r="U15" s="48" t="n">
        <v>33589004.78972933</v>
      </c>
      <c r="V15" s="48" t="n">
        <v>35451255.83912663</v>
      </c>
      <c r="W15" s="48" t="n">
        <v>37366816.85076962</v>
      </c>
      <c r="Z15" s="19" t="inlineStr">
        <is>
          <t>opex</t>
        </is>
      </c>
      <c r="AA15" s="19" t="inlineStr">
        <is>
          <t>payroll_cost_per_fte_monthly</t>
        </is>
      </c>
      <c r="AB15" s="19" t="inlineStr">
        <is>
          <t>Product &amp; Design</t>
        </is>
      </c>
      <c r="AC15" s="19" t="inlineStr">
        <is>
          <t>usd_per_month</t>
        </is>
      </c>
      <c r="AD15" s="19" t="inlineStr">
        <is>
          <t>historical</t>
        </is>
      </c>
      <c r="AE15" s="139" t="n"/>
      <c r="AF15" s="139" t="n"/>
      <c r="AG15" s="139" t="n"/>
    </row>
    <row r="16">
      <c r="S16" s="138" t="n">
        <v>46477</v>
      </c>
      <c r="T16" s="19" t="inlineStr">
        <is>
          <t>Mar-27</t>
        </is>
      </c>
      <c r="U16" s="48" t="n">
        <v>33480771.93309422</v>
      </c>
      <c r="V16" s="48" t="n">
        <v>35660175.06436726</v>
      </c>
      <c r="W16" s="48" t="n">
        <v>37895238.52974396</v>
      </c>
      <c r="Z16" s="19" t="inlineStr">
        <is>
          <t>opex</t>
        </is>
      </c>
      <c r="AA16" s="19" t="inlineStr">
        <is>
          <t>payroll_cost_per_fte_monthly</t>
        </is>
      </c>
      <c r="AB16" s="19" t="inlineStr">
        <is>
          <t>Professional Services</t>
        </is>
      </c>
      <c r="AC16" s="19" t="inlineStr">
        <is>
          <t>usd_per_month</t>
        </is>
      </c>
      <c r="AD16" s="19" t="inlineStr">
        <is>
          <t>historical</t>
        </is>
      </c>
      <c r="AE16" s="139" t="n"/>
      <c r="AF16" s="139" t="n"/>
      <c r="AG16" s="139" t="n"/>
    </row>
    <row r="17">
      <c r="S17" s="138" t="n">
        <v>46507</v>
      </c>
      <c r="T17" s="19" t="inlineStr">
        <is>
          <t>Apr-27</t>
        </is>
      </c>
      <c r="U17" s="48" t="n">
        <v>33790832.73385861</v>
      </c>
      <c r="V17" s="48" t="n">
        <v>36215317.18726552</v>
      </c>
      <c r="W17" s="48" t="n">
        <v>38717243.12667473</v>
      </c>
      <c r="Z17" s="19" t="inlineStr">
        <is>
          <t>opex</t>
        </is>
      </c>
      <c r="AA17" s="19" t="inlineStr">
        <is>
          <t>payroll_cost_per_fte_monthly</t>
        </is>
      </c>
      <c r="AB17" s="19" t="inlineStr">
        <is>
          <t>Sales</t>
        </is>
      </c>
      <c r="AC17" s="19" t="inlineStr">
        <is>
          <t>usd_per_month</t>
        </is>
      </c>
      <c r="AD17" s="19" t="inlineStr">
        <is>
          <t>historical</t>
        </is>
      </c>
      <c r="AE17" s="139" t="n"/>
      <c r="AF17" s="139" t="n"/>
      <c r="AG17" s="139" t="n"/>
    </row>
    <row r="18">
      <c r="S18" s="138" t="n">
        <v>46538</v>
      </c>
      <c r="T18" s="19" t="inlineStr">
        <is>
          <t>May-27</t>
        </is>
      </c>
      <c r="U18" s="48" t="n">
        <v>34174814.8464488</v>
      </c>
      <c r="V18" s="48" t="n">
        <v>36829763.61356527</v>
      </c>
      <c r="W18" s="48" t="n">
        <v>39588967.34456073</v>
      </c>
      <c r="Z18" s="19" t="inlineStr">
        <is>
          <t>opex</t>
        </is>
      </c>
      <c r="AA18" s="19" t="inlineStr">
        <is>
          <t>payroll_cost_per_fte_monthly</t>
        </is>
      </c>
      <c r="AB18" s="19" t="inlineStr">
        <is>
          <t>Support &amp; Cloud Ops</t>
        </is>
      </c>
      <c r="AC18" s="19" t="inlineStr">
        <is>
          <t>usd_per_month</t>
        </is>
      </c>
      <c r="AD18" s="19" t="inlineStr">
        <is>
          <t>historical</t>
        </is>
      </c>
      <c r="AE18" s="139" t="n"/>
      <c r="AF18" s="139" t="n"/>
      <c r="AG18" s="139" t="n"/>
    </row>
    <row r="19">
      <c r="S19" s="138" t="n">
        <v>46568</v>
      </c>
      <c r="T19" s="19" t="inlineStr">
        <is>
          <t>Jun-27</t>
        </is>
      </c>
      <c r="U19" s="48" t="n">
        <v>34218830.66966811</v>
      </c>
      <c r="V19" s="48" t="n">
        <v>37158664.92315979</v>
      </c>
      <c r="W19" s="48" t="n">
        <v>40217306.25057846</v>
      </c>
      <c r="Z19" s="19" t="inlineStr">
        <is>
          <t>pipeline</t>
        </is>
      </c>
      <c r="AA19" s="19" t="inlineStr">
        <is>
          <t>creation_monthly_acv</t>
        </is>
      </c>
      <c r="AB19" s="19" t="inlineStr">
        <is>
          <t>Enterprise</t>
        </is>
      </c>
      <c r="AC19" s="19" t="inlineStr">
        <is>
          <t>usd_per_month</t>
        </is>
      </c>
      <c r="AD19" s="19" t="inlineStr">
        <is>
          <t>historical</t>
        </is>
      </c>
      <c r="AE19" s="139" t="n">
        <v>547548.074</v>
      </c>
      <c r="AF19" s="139" t="n">
        <v>684435.0925</v>
      </c>
      <c r="AG19" s="139" t="n">
        <v>855543.8656250001</v>
      </c>
    </row>
    <row r="20">
      <c r="S20" s="138" t="n">
        <v>46599</v>
      </c>
      <c r="T20" s="19" t="inlineStr">
        <is>
          <t>Jul-27</t>
        </is>
      </c>
      <c r="U20" s="48" t="n">
        <v>34766211.1317759</v>
      </c>
      <c r="V20" s="48" t="n">
        <v>37904852.39349368</v>
      </c>
      <c r="W20" s="48" t="n">
        <v>41199683.08172434</v>
      </c>
      <c r="Z20" s="19" t="inlineStr">
        <is>
          <t>pipeline</t>
        </is>
      </c>
      <c r="AA20" s="19" t="inlineStr">
        <is>
          <t>creation_monthly_acv</t>
        </is>
      </c>
      <c r="AB20" s="19" t="inlineStr">
        <is>
          <t>Mid-Market</t>
        </is>
      </c>
      <c r="AC20" s="19" t="inlineStr">
        <is>
          <t>usd_per_month</t>
        </is>
      </c>
      <c r="AD20" s="19" t="inlineStr">
        <is>
          <t>historical</t>
        </is>
      </c>
      <c r="AE20" s="139" t="n">
        <v>637623.8300000001</v>
      </c>
      <c r="AF20" s="139" t="n">
        <v>797029.7875</v>
      </c>
      <c r="AG20" s="139" t="n">
        <v>996287.234375</v>
      </c>
    </row>
    <row r="21">
      <c r="S21" s="138" t="n">
        <v>46630</v>
      </c>
      <c r="T21" s="19" t="inlineStr">
        <is>
          <t>Aug-27</t>
        </is>
      </c>
      <c r="U21" s="48" t="n">
        <v>35344012.74152716</v>
      </c>
      <c r="V21" s="48" t="n">
        <v>38674260.57704344</v>
      </c>
      <c r="W21" s="48" t="n">
        <v>42201158.4461576</v>
      </c>
      <c r="Z21" s="19" t="inlineStr">
        <is>
          <t>pipeline</t>
        </is>
      </c>
      <c r="AA21" s="19" t="inlineStr">
        <is>
          <t>creation_monthly_acv</t>
        </is>
      </c>
      <c r="AB21" s="19" t="inlineStr">
        <is>
          <t>SMB</t>
        </is>
      </c>
      <c r="AC21" s="19" t="inlineStr">
        <is>
          <t>usd_per_month</t>
        </is>
      </c>
      <c r="AD21" s="19" t="inlineStr">
        <is>
          <t>historical</t>
        </is>
      </c>
      <c r="AE21" s="139" t="n">
        <v>377659.5166666667</v>
      </c>
      <c r="AF21" s="139" t="n">
        <v>472074.3958333333</v>
      </c>
      <c r="AG21" s="139" t="n">
        <v>590092.9947916666</v>
      </c>
    </row>
    <row r="22">
      <c r="S22" s="138" t="n">
        <v>46660</v>
      </c>
      <c r="T22" s="19" t="inlineStr">
        <is>
          <t>Sep-27</t>
        </is>
      </c>
      <c r="U22" s="48" t="n">
        <v>35802902.17568776</v>
      </c>
      <c r="V22" s="48" t="n">
        <v>39342497.82499545</v>
      </c>
      <c r="W22" s="48" t="n">
        <v>43116015.2785511</v>
      </c>
      <c r="Z22" s="19" t="inlineStr">
        <is>
          <t>pipeline</t>
        </is>
      </c>
      <c r="AA22" s="19" t="inlineStr">
        <is>
          <t>creation_to_close_lag_months</t>
        </is>
      </c>
      <c r="AB22" s="19" t="inlineStr">
        <is>
          <t>Enterprise</t>
        </is>
      </c>
      <c r="AC22" s="19" t="inlineStr">
        <is>
          <t>months</t>
        </is>
      </c>
      <c r="AD22" s="19" t="inlineStr">
        <is>
          <t>historical</t>
        </is>
      </c>
      <c r="AE22" s="139" t="n"/>
      <c r="AF22" s="139" t="n"/>
      <c r="AG22" s="139" t="n"/>
    </row>
    <row r="23">
      <c r="S23" s="138" t="n">
        <v>46691</v>
      </c>
      <c r="T23" s="19" t="inlineStr">
        <is>
          <t>Oct-27</t>
        </is>
      </c>
      <c r="U23" s="48" t="n">
        <v>36366787.99932843</v>
      </c>
      <c r="V23" s="48" t="n">
        <v>40096206.0873948</v>
      </c>
      <c r="W23" s="48" t="n">
        <v>44102914.68018904</v>
      </c>
      <c r="Z23" s="19" t="inlineStr">
        <is>
          <t>pipeline</t>
        </is>
      </c>
      <c r="AA23" s="19" t="inlineStr">
        <is>
          <t>creation_to_close_lag_months</t>
        </is>
      </c>
      <c r="AB23" s="19" t="inlineStr">
        <is>
          <t>Mid-Market</t>
        </is>
      </c>
      <c r="AC23" s="19" t="inlineStr">
        <is>
          <t>months</t>
        </is>
      </c>
      <c r="AD23" s="19" t="inlineStr">
        <is>
          <t>historical</t>
        </is>
      </c>
      <c r="AE23" s="139" t="n"/>
      <c r="AF23" s="139" t="n"/>
      <c r="AG23" s="139" t="n"/>
    </row>
    <row r="24">
      <c r="S24" s="138" t="n">
        <v>46721</v>
      </c>
      <c r="T24" s="19" t="inlineStr">
        <is>
          <t>Nov-27</t>
        </is>
      </c>
      <c r="U24" s="48" t="n">
        <v>36942875.60658511</v>
      </c>
      <c r="V24" s="48" t="n">
        <v>40858106.72952597</v>
      </c>
      <c r="W24" s="48" t="n">
        <v>45092786.51501171</v>
      </c>
      <c r="Z24" s="19" t="inlineStr">
        <is>
          <t>pipeline</t>
        </is>
      </c>
      <c r="AA24" s="19" t="inlineStr">
        <is>
          <t>creation_to_close_lag_months</t>
        </is>
      </c>
      <c r="AB24" s="19" t="inlineStr">
        <is>
          <t>SMB</t>
        </is>
      </c>
      <c r="AC24" s="19" t="inlineStr">
        <is>
          <t>months</t>
        </is>
      </c>
      <c r="AD24" s="19" t="inlineStr">
        <is>
          <t>historical</t>
        </is>
      </c>
      <c r="AE24" s="139" t="n"/>
      <c r="AF24" s="139" t="n"/>
      <c r="AG24" s="139" t="n"/>
    </row>
    <row r="25">
      <c r="S25" s="138" t="n">
        <v>46752</v>
      </c>
      <c r="T25" s="19" t="inlineStr">
        <is>
          <t>Dec-27</t>
        </is>
      </c>
      <c r="U25" s="48" t="n">
        <v>37456821.81146927</v>
      </c>
      <c r="V25" s="48" t="n">
        <v>41566296.05586515</v>
      </c>
      <c r="W25" s="48" t="n">
        <v>46032954.52691905</v>
      </c>
      <c r="Z25" s="19" t="inlineStr">
        <is>
          <t>reactivation</t>
        </is>
      </c>
      <c r="AA25" s="19" t="inlineStr">
        <is>
          <t>monthly_arr</t>
        </is>
      </c>
      <c r="AB25" s="19" t="inlineStr">
        <is>
          <t>Enterprise</t>
        </is>
      </c>
      <c r="AC25" s="19" t="inlineStr">
        <is>
          <t>usd_per_month</t>
        </is>
      </c>
      <c r="AD25" s="19" t="inlineStr">
        <is>
          <t>historical</t>
        </is>
      </c>
      <c r="AE25" s="139" t="n"/>
      <c r="AF25" s="139" t="n"/>
      <c r="AG25" s="139" t="n"/>
    </row>
    <row r="26">
      <c r="Z26" s="19" t="inlineStr">
        <is>
          <t>reactivation</t>
        </is>
      </c>
      <c r="AA26" s="19" t="inlineStr">
        <is>
          <t>monthly_arr</t>
        </is>
      </c>
      <c r="AB26" s="19" t="inlineStr">
        <is>
          <t>Mid-Market</t>
        </is>
      </c>
      <c r="AC26" s="19" t="inlineStr">
        <is>
          <t>usd_per_month</t>
        </is>
      </c>
      <c r="AD26" s="19" t="inlineStr">
        <is>
          <t>historical</t>
        </is>
      </c>
      <c r="AE26" s="139" t="n"/>
      <c r="AF26" s="139" t="n"/>
      <c r="AG26" s="139" t="n"/>
    </row>
    <row r="27">
      <c r="Z27" s="19" t="inlineStr">
        <is>
          <t>reactivation</t>
        </is>
      </c>
      <c r="AA27" s="19" t="inlineStr">
        <is>
          <t>monthly_arr</t>
        </is>
      </c>
      <c r="AB27" s="19" t="inlineStr">
        <is>
          <t>SMB</t>
        </is>
      </c>
      <c r="AC27" s="19" t="inlineStr">
        <is>
          <t>usd_per_month</t>
        </is>
      </c>
      <c r="AD27" s="19" t="inlineStr">
        <is>
          <t>historical</t>
        </is>
      </c>
      <c r="AE27" s="139" t="n"/>
      <c r="AF27" s="139" t="n"/>
      <c r="AG27" s="139" t="n"/>
    </row>
    <row r="28">
      <c r="Z28" s="19" t="inlineStr">
        <is>
          <t>retention</t>
        </is>
      </c>
      <c r="AA28" s="19" t="inlineStr">
        <is>
          <t>baseline_nonatr_churn_monthly</t>
        </is>
      </c>
      <c r="AB28" s="19" t="inlineStr">
        <is>
          <t>Enterprise</t>
        </is>
      </c>
      <c r="AC28" s="19" t="inlineStr">
        <is>
          <t>usd_per_month</t>
        </is>
      </c>
      <c r="AD28" s="19" t="inlineStr">
        <is>
          <t>historical</t>
        </is>
      </c>
      <c r="AE28" s="139" t="n">
        <v>0</v>
      </c>
      <c r="AF28" s="139" t="n">
        <v>0</v>
      </c>
      <c r="AG28" s="139" t="n">
        <v>0</v>
      </c>
    </row>
    <row r="29">
      <c r="Z29" s="19" t="inlineStr">
        <is>
          <t>retention</t>
        </is>
      </c>
      <c r="AA29" s="19" t="inlineStr">
        <is>
          <t>baseline_nonatr_churn_monthly</t>
        </is>
      </c>
      <c r="AB29" s="19" t="inlineStr">
        <is>
          <t>Mid-Market</t>
        </is>
      </c>
      <c r="AC29" s="19" t="inlineStr">
        <is>
          <t>usd_per_month</t>
        </is>
      </c>
      <c r="AD29" s="19" t="inlineStr">
        <is>
          <t>historical</t>
        </is>
      </c>
      <c r="AE29" s="139" t="n">
        <v>0</v>
      </c>
      <c r="AF29" s="139" t="n">
        <v>0</v>
      </c>
      <c r="AG29" s="139" t="n">
        <v>0</v>
      </c>
    </row>
    <row r="30">
      <c r="Z30" s="19" t="inlineStr">
        <is>
          <t>retention</t>
        </is>
      </c>
      <c r="AA30" s="19" t="inlineStr">
        <is>
          <t>baseline_nonatr_churn_monthly</t>
        </is>
      </c>
      <c r="AB30" s="19" t="inlineStr">
        <is>
          <t>SMB</t>
        </is>
      </c>
      <c r="AC30" s="19" t="inlineStr">
        <is>
          <t>usd_per_month</t>
        </is>
      </c>
      <c r="AD30" s="19" t="inlineStr">
        <is>
          <t>historical</t>
        </is>
      </c>
      <c r="AE30" s="139" t="n">
        <v>85170</v>
      </c>
      <c r="AF30" s="139" t="n">
        <v>70975</v>
      </c>
      <c r="AG30" s="139" t="n">
        <v>60328.75</v>
      </c>
    </row>
    <row r="31">
      <c r="Z31" s="19" t="inlineStr">
        <is>
          <t>retention</t>
        </is>
      </c>
      <c r="AA31" s="19" t="inlineStr">
        <is>
          <t>baseline_nonatr_contraction_monthly</t>
        </is>
      </c>
      <c r="AB31" s="19" t="inlineStr">
        <is>
          <t>Enterprise</t>
        </is>
      </c>
      <c r="AC31" s="19" t="inlineStr">
        <is>
          <t>usd_per_month</t>
        </is>
      </c>
      <c r="AD31" s="19" t="inlineStr">
        <is>
          <t>historical</t>
        </is>
      </c>
      <c r="AE31" s="139" t="n">
        <v>0</v>
      </c>
      <c r="AF31" s="139" t="n">
        <v>0</v>
      </c>
      <c r="AG31" s="139" t="n">
        <v>0</v>
      </c>
    </row>
    <row r="32">
      <c r="Z32" s="19" t="inlineStr">
        <is>
          <t>retention</t>
        </is>
      </c>
      <c r="AA32" s="19" t="inlineStr">
        <is>
          <t>baseline_nonatr_contraction_monthly</t>
        </is>
      </c>
      <c r="AB32" s="19" t="inlineStr">
        <is>
          <t>Mid-Market</t>
        </is>
      </c>
      <c r="AC32" s="19" t="inlineStr">
        <is>
          <t>usd_per_month</t>
        </is>
      </c>
      <c r="AD32" s="19" t="inlineStr">
        <is>
          <t>historical</t>
        </is>
      </c>
      <c r="AE32" s="139" t="n">
        <v>0</v>
      </c>
      <c r="AF32" s="139" t="n">
        <v>0</v>
      </c>
      <c r="AG32" s="139" t="n">
        <v>0</v>
      </c>
    </row>
    <row r="33">
      <c r="Z33" s="19" t="inlineStr">
        <is>
          <t>retention</t>
        </is>
      </c>
      <c r="AA33" s="19" t="inlineStr">
        <is>
          <t>baseline_nonatr_contraction_monthly</t>
        </is>
      </c>
      <c r="AB33" s="19" t="inlineStr">
        <is>
          <t>SMB</t>
        </is>
      </c>
      <c r="AC33" s="19" t="inlineStr">
        <is>
          <t>usd_per_month</t>
        </is>
      </c>
      <c r="AD33" s="19" t="inlineStr">
        <is>
          <t>historical</t>
        </is>
      </c>
      <c r="AE33" s="139" t="n">
        <v>7963.68</v>
      </c>
      <c r="AF33" s="139" t="n">
        <v>6636.400000000001</v>
      </c>
      <c r="AG33" s="139" t="n">
        <v>5640.940000000001</v>
      </c>
    </row>
    <row r="34">
      <c r="Z34" s="19" t="inlineStr">
        <is>
          <t>retention</t>
        </is>
      </c>
      <c r="AA34" s="19" t="inlineStr">
        <is>
          <t>churn_share_of_atr</t>
        </is>
      </c>
      <c r="AB34" s="19" t="inlineStr">
        <is>
          <t>Enterprise</t>
        </is>
      </c>
      <c r="AC34" s="19" t="inlineStr">
        <is>
          <t>rate</t>
        </is>
      </c>
      <c r="AD34" s="19" t="inlineStr">
        <is>
          <t>historical</t>
        </is>
      </c>
      <c r="AE34" s="139" t="n">
        <v>0.1075020979523982</v>
      </c>
      <c r="AF34" s="139" t="n">
        <v>0.08958508162699851</v>
      </c>
      <c r="AG34" s="139" t="n">
        <v>0.07614731938294871</v>
      </c>
    </row>
    <row r="35">
      <c r="Z35" s="19" t="inlineStr">
        <is>
          <t>retention</t>
        </is>
      </c>
      <c r="AA35" s="19" t="inlineStr">
        <is>
          <t>churn_share_of_atr</t>
        </is>
      </c>
      <c r="AB35" s="19" t="inlineStr">
        <is>
          <t>Mid-Market</t>
        </is>
      </c>
      <c r="AC35" s="19" t="inlineStr">
        <is>
          <t>rate</t>
        </is>
      </c>
      <c r="AD35" s="19" t="inlineStr">
        <is>
          <t>historical</t>
        </is>
      </c>
      <c r="AE35" s="139" t="n">
        <v>0.112246772788132</v>
      </c>
      <c r="AF35" s="139" t="n">
        <v>0.0935389773234433</v>
      </c>
      <c r="AG35" s="139" t="n">
        <v>0.0795081307249268</v>
      </c>
    </row>
    <row r="36">
      <c r="Z36" s="19" t="inlineStr">
        <is>
          <t>retention</t>
        </is>
      </c>
      <c r="AA36" s="19" t="inlineStr">
        <is>
          <t>churn_share_of_atr</t>
        </is>
      </c>
      <c r="AB36" s="19" t="inlineStr">
        <is>
          <t>SMB</t>
        </is>
      </c>
      <c r="AC36" s="19" t="inlineStr">
        <is>
          <t>rate</t>
        </is>
      </c>
      <c r="AD36" s="19" t="inlineStr">
        <is>
          <t>historical</t>
        </is>
      </c>
      <c r="AE36" s="139" t="n">
        <v>0.3006507114679311</v>
      </c>
      <c r="AF36" s="139" t="n">
        <v>0.2505422595566092</v>
      </c>
      <c r="AG36" s="139" t="n">
        <v>0.2129609206231178</v>
      </c>
    </row>
    <row r="37">
      <c r="Z37" s="19" t="inlineStr">
        <is>
          <t>retention</t>
        </is>
      </c>
      <c r="AA37" s="19" t="inlineStr">
        <is>
          <t>contraction_share_of_atr</t>
        </is>
      </c>
      <c r="AB37" s="19" t="inlineStr">
        <is>
          <t>Enterprise</t>
        </is>
      </c>
      <c r="AC37" s="19" t="inlineStr">
        <is>
          <t>rate</t>
        </is>
      </c>
      <c r="AD37" s="19" t="inlineStr">
        <is>
          <t>historical</t>
        </is>
      </c>
      <c r="AE37" s="139" t="n">
        <v>0.08718108569026529</v>
      </c>
      <c r="AF37" s="139" t="n">
        <v>0.0726509047418878</v>
      </c>
      <c r="AG37" s="139" t="n">
        <v>0.0617532690306046</v>
      </c>
    </row>
    <row r="38">
      <c r="Z38" s="19" t="inlineStr">
        <is>
          <t>retention</t>
        </is>
      </c>
      <c r="AA38" s="19" t="inlineStr">
        <is>
          <t>contraction_share_of_atr</t>
        </is>
      </c>
      <c r="AB38" s="19" t="inlineStr">
        <is>
          <t>Mid-Market</t>
        </is>
      </c>
      <c r="AC38" s="19" t="inlineStr">
        <is>
          <t>rate</t>
        </is>
      </c>
      <c r="AD38" s="19" t="inlineStr">
        <is>
          <t>historical</t>
        </is>
      </c>
      <c r="AE38" s="139" t="n">
        <v>0.1130097848522841</v>
      </c>
      <c r="AF38" s="139" t="n">
        <v>0.0941748207102367</v>
      </c>
      <c r="AG38" s="139" t="n">
        <v>0.0800485976037012</v>
      </c>
    </row>
    <row r="39">
      <c r="Z39" s="19" t="inlineStr">
        <is>
          <t>retention</t>
        </is>
      </c>
      <c r="AA39" s="19" t="inlineStr">
        <is>
          <t>contraction_share_of_atr</t>
        </is>
      </c>
      <c r="AB39" s="19" t="inlineStr">
        <is>
          <t>SMB</t>
        </is>
      </c>
      <c r="AC39" s="19" t="inlineStr">
        <is>
          <t>rate</t>
        </is>
      </c>
      <c r="AD39" s="19" t="inlineStr">
        <is>
          <t>historical</t>
        </is>
      </c>
      <c r="AE39" s="139" t="n">
        <v>0.07911006351962011</v>
      </c>
      <c r="AF39" s="139" t="n">
        <v>0.0659250529330168</v>
      </c>
      <c r="AG39" s="139" t="n">
        <v>0.0560362949930642</v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6" customWidth="1" min="5" max="5"/>
    <col width="24" customWidth="1" min="6" max="6"/>
    <col width="29" customWidth="1" min="7" max="7"/>
    <col width="19" customWidth="1" min="8" max="8"/>
    <col width="23" customWidth="1" min="9" max="9"/>
    <col width="14" customWidth="1" min="12" max="12"/>
    <col width="12" customWidth="1" min="13" max="13"/>
    <col width="20" customWidth="1" min="14" max="14"/>
    <col width="29" customWidth="1" min="15" max="15"/>
    <col width="27" customWidth="1" min="16" max="16"/>
    <col width="24" customWidth="1" min="17" max="17"/>
    <col width="29" customWidth="1" min="18" max="18"/>
    <col width="19" customWidth="1" min="19" max="19"/>
    <col width="23" customWidth="1" min="20" max="20"/>
    <col width="28" customWidth="1" min="21" max="21"/>
    <col width="34" customWidth="1" min="22" max="22"/>
    <col width="29" customWidth="1" min="23" max="23"/>
    <col width="28" customWidth="1" min="24" max="24"/>
    <col width="29" customWidth="1" min="25" max="25"/>
    <col width="30" customWidth="1" min="26" max="26"/>
  </cols>
  <sheetData>
    <row r="1">
      <c r="A1" s="137" t="inlineStr">
        <is>
          <t>path</t>
        </is>
      </c>
      <c r="B1" s="136" t="inlineStr">
        <is>
          <t>view</t>
        </is>
      </c>
      <c r="C1" s="136" t="inlineStr">
        <is>
          <t>label</t>
        </is>
      </c>
      <c r="D1" s="136" t="inlineStr">
        <is>
          <t>policy_avg_monthly_burn</t>
        </is>
      </c>
      <c r="E1" s="136" t="inlineStr">
        <is>
          <t>opening_cash</t>
        </is>
      </c>
      <c r="F1" s="136" t="inlineStr">
        <is>
          <t>policy_runway_months</t>
        </is>
      </c>
      <c r="G1" s="136" t="inlineStr">
        <is>
          <t>board_runway_floor_months</t>
        </is>
      </c>
      <c r="H1" s="136" t="inlineStr">
        <is>
          <t>headroom_months</t>
        </is>
      </c>
      <c r="I1" s="136" t="inlineStr">
        <is>
          <t>breaches_floor_flag</t>
        </is>
      </c>
      <c r="L1" s="136" t="inlineStr">
        <is>
          <t>case_label</t>
        </is>
      </c>
      <c r="M1" s="136" t="inlineStr">
        <is>
          <t>path</t>
        </is>
      </c>
      <c r="N1" s="136" t="inlineStr">
        <is>
          <t>cumulative_hires</t>
        </is>
      </c>
      <c r="O1" s="136" t="inlineStr">
        <is>
          <t>h2_2026_new_logo_capacity</t>
        </is>
      </c>
      <c r="P1" s="136" t="inlineStr">
        <is>
          <t>policy_avg_monthly_burn</t>
        </is>
      </c>
      <c r="Q1" s="136" t="inlineStr">
        <is>
          <t>policy_runway_months</t>
        </is>
      </c>
      <c r="R1" s="136" t="inlineStr">
        <is>
          <t>board_runway_floor_months</t>
        </is>
      </c>
      <c r="S1" s="136" t="inlineStr">
        <is>
          <t>headroom_months</t>
        </is>
      </c>
      <c r="T1" s="136" t="inlineStr">
        <is>
          <t>breaches_floor_flag</t>
        </is>
      </c>
      <c r="U1" s="136" t="inlineStr">
        <is>
          <t>dec_2027_incremental_arr</t>
        </is>
      </c>
      <c r="V1" s="136" t="inlineStr">
        <is>
          <t>dec_2027_incremental_operating_income</t>
        </is>
      </c>
      <c r="W1" s="136" t="inlineStr">
        <is>
          <t>dec_2027_incremental_cash</t>
        </is>
      </c>
      <c r="X1" s="136" t="inlineStr">
        <is>
          <t>dec_2026_incremental_arr</t>
        </is>
      </c>
      <c r="Y1" s="136" t="inlineStr">
        <is>
          <t>dec_2026_incremental_cash</t>
        </is>
      </c>
      <c r="Z1" s="136" t="inlineStr">
        <is>
          <t>primary_binding_constraint</t>
        </is>
      </c>
    </row>
    <row r="2">
      <c r="A2" s="19" t="inlineStr">
        <is>
          <t>Bear</t>
        </is>
      </c>
      <c r="B2" s="19" t="inlineStr">
        <is>
          <t>Operating scenario</t>
        </is>
      </c>
      <c r="C2" s="19" t="inlineStr">
        <is>
          <t>Bear</t>
        </is>
      </c>
      <c r="D2" s="48" t="n">
        <v>926092.1122789808</v>
      </c>
      <c r="E2" s="48" t="n">
        <v>21800000</v>
      </c>
      <c r="F2" s="118" t="n">
        <v>23.53977505148305</v>
      </c>
      <c r="G2" s="118" t="n">
        <v>24</v>
      </c>
      <c r="H2" s="109" t="n">
        <v>-0.4602249485169452</v>
      </c>
      <c r="I2" s="19" t="inlineStr">
        <is>
          <t>Yes</t>
        </is>
      </c>
      <c r="L2" s="19" t="inlineStr">
        <is>
          <t>No Incremental GTM Hiring</t>
        </is>
      </c>
      <c r="M2" s="19" t="inlineStr">
        <is>
          <t>Base</t>
        </is>
      </c>
      <c r="N2" s="28" t="n">
        <v>0</v>
      </c>
      <c r="O2" s="48" t="n">
        <v>2920858.782250161</v>
      </c>
      <c r="P2" s="48" t="n">
        <v>850000</v>
      </c>
      <c r="Q2" s="118" t="n">
        <v>25.64705882352941</v>
      </c>
      <c r="R2" s="118" t="n">
        <v>24</v>
      </c>
      <c r="S2" s="109" t="n">
        <v>1.647058823529413</v>
      </c>
      <c r="T2" s="19" t="inlineStr">
        <is>
          <t>No</t>
        </is>
      </c>
      <c r="U2" s="48" t="n">
        <v>0</v>
      </c>
      <c r="V2" s="48" t="n">
        <v>0</v>
      </c>
      <c r="W2" s="48" t="n">
        <v>0</v>
      </c>
      <c r="X2" s="48" t="n">
        <v>0</v>
      </c>
      <c r="Y2" s="48" t="n">
        <v>0</v>
      </c>
      <c r="Z2" s="19" t="inlineStr">
        <is>
          <t>Pipeline</t>
        </is>
      </c>
    </row>
    <row r="3">
      <c r="A3" s="19" t="inlineStr">
        <is>
          <t>Base</t>
        </is>
      </c>
      <c r="B3" s="19" t="inlineStr">
        <is>
          <t>Operating scenario / hiring case</t>
        </is>
      </c>
      <c r="C3" s="19" t="inlineStr">
        <is>
          <t>Base -- No Incremental GTM Hiring</t>
        </is>
      </c>
      <c r="D3" s="48" t="n">
        <v>850000</v>
      </c>
      <c r="E3" s="48" t="n">
        <v>21800000</v>
      </c>
      <c r="F3" s="118" t="n">
        <v>25.64705882352941</v>
      </c>
      <c r="G3" s="118" t="n">
        <v>24</v>
      </c>
      <c r="H3" s="109" t="n">
        <v>1.647058823529413</v>
      </c>
      <c r="I3" s="19" t="inlineStr">
        <is>
          <t>No</t>
        </is>
      </c>
      <c r="L3" s="19" t="inlineStr">
        <is>
          <t>Targeted / Runway-Constrained Hiring</t>
        </is>
      </c>
      <c r="M3" s="19" t="inlineStr">
        <is>
          <t>Base_Targeted</t>
        </is>
      </c>
      <c r="N3" s="28" t="n">
        <v>0</v>
      </c>
      <c r="O3" s="48" t="n">
        <v>2920858.782250161</v>
      </c>
      <c r="P3" s="48" t="n">
        <v>850000</v>
      </c>
      <c r="Q3" s="118" t="n">
        <v>25.64705882352941</v>
      </c>
      <c r="R3" s="118" t="n">
        <v>24</v>
      </c>
      <c r="S3" s="109" t="n">
        <v>1.647058823529413</v>
      </c>
      <c r="T3" s="19" t="inlineStr">
        <is>
          <t>No</t>
        </is>
      </c>
      <c r="U3" s="48" t="n">
        <v>0</v>
      </c>
      <c r="V3" s="48" t="n">
        <v>0</v>
      </c>
      <c r="W3" s="48" t="n">
        <v>0</v>
      </c>
      <c r="X3" s="48" t="n">
        <v>0</v>
      </c>
      <c r="Y3" s="48" t="n">
        <v>0</v>
      </c>
      <c r="Z3" s="19" t="inlineStr">
        <is>
          <t>Pipeline</t>
        </is>
      </c>
    </row>
    <row r="4">
      <c r="A4" s="19" t="inlineStr">
        <is>
          <t>Bull</t>
        </is>
      </c>
      <c r="B4" s="19" t="inlineStr">
        <is>
          <t>Operating scenario</t>
        </is>
      </c>
      <c r="C4" s="19" t="inlineStr">
        <is>
          <t>Bull</t>
        </is>
      </c>
      <c r="D4" s="48" t="n">
        <v>771318.4349855309</v>
      </c>
      <c r="E4" s="48" t="n">
        <v>21800000</v>
      </c>
      <c r="F4" s="118" t="n">
        <v>28.26329439462826</v>
      </c>
      <c r="G4" s="118" t="n">
        <v>24</v>
      </c>
      <c r="H4" s="109" t="n">
        <v>4.263294394628264</v>
      </c>
      <c r="I4" s="19" t="inlineStr">
        <is>
          <t>No</t>
        </is>
      </c>
      <c r="L4" s="19" t="inlineStr">
        <is>
          <t>Full Capacity-Close Hiring</t>
        </is>
      </c>
      <c r="M4" s="19" t="inlineStr">
        <is>
          <t>Base_FullClose</t>
        </is>
      </c>
      <c r="N4" s="28" t="n">
        <v>4</v>
      </c>
      <c r="O4" s="48" t="n">
        <v>2996583.27052319</v>
      </c>
      <c r="P4" s="48" t="n">
        <v>883984.7124660932</v>
      </c>
      <c r="Q4" s="118" t="n">
        <v>24.66105996243252</v>
      </c>
      <c r="R4" s="118" t="n">
        <v>24</v>
      </c>
      <c r="S4" s="109" t="n">
        <v>0.6610599624325246</v>
      </c>
      <c r="T4" s="19" t="inlineStr">
        <is>
          <t>No</t>
        </is>
      </c>
      <c r="U4" s="48" t="n">
        <v>147322.040569365</v>
      </c>
      <c r="V4" s="48" t="n">
        <v>-31366.64182941336</v>
      </c>
      <c r="W4" s="48" t="n">
        <v>-637083.1113751382</v>
      </c>
      <c r="X4" s="48" t="n">
        <v>466.8747128918767</v>
      </c>
      <c r="Y4" s="48" t="n">
        <v>-139065.216370333</v>
      </c>
      <c r="Z4" s="19" t="inlineStr">
        <is>
          <t>Pipeline</t>
        </is>
      </c>
    </row>
    <row r="5">
      <c r="A5" s="19" t="inlineStr">
        <is>
          <t>Base_Targeted</t>
        </is>
      </c>
      <c r="B5" s="19" t="inlineStr">
        <is>
          <t>Hiring case</t>
        </is>
      </c>
      <c r="C5" s="19" t="inlineStr">
        <is>
          <t>Targeted / Runway-Constrained Hiring</t>
        </is>
      </c>
      <c r="D5" s="48" t="n">
        <v>850000</v>
      </c>
      <c r="E5" s="48" t="n">
        <v>21800000</v>
      </c>
      <c r="F5" s="118" t="n">
        <v>25.64705882352941</v>
      </c>
      <c r="G5" s="118" t="n">
        <v>24</v>
      </c>
      <c r="H5" s="109" t="n">
        <v>1.647058823529413</v>
      </c>
      <c r="I5" s="19" t="inlineStr">
        <is>
          <t>No</t>
        </is>
      </c>
    </row>
    <row r="6">
      <c r="A6" s="19" t="inlineStr">
        <is>
          <t>Base_FullClose</t>
        </is>
      </c>
      <c r="B6" s="19" t="inlineStr">
        <is>
          <t>Hiring case</t>
        </is>
      </c>
      <c r="C6" s="19" t="inlineStr">
        <is>
          <t>Full Capacity-Close Hiring</t>
        </is>
      </c>
      <c r="D6" s="48" t="n">
        <v>883984.7124660932</v>
      </c>
      <c r="E6" s="48" t="n">
        <v>21800000</v>
      </c>
      <c r="F6" s="118" t="n">
        <v>24.66105996243252</v>
      </c>
      <c r="G6" s="118" t="n">
        <v>24</v>
      </c>
      <c r="H6" s="109" t="n">
        <v>0.6610599624325246</v>
      </c>
      <c r="I6" s="19" t="inlineStr">
        <is>
          <t>No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5" customWidth="1" min="4" max="4"/>
    <col width="12" customWidth="1" min="5" max="5"/>
    <col width="31" customWidth="1" min="6" max="6"/>
    <col width="27" customWidth="1" min="7" max="7"/>
    <col width="27" customWidth="1" min="8" max="8"/>
    <col width="30" customWidth="1" min="9" max="9"/>
    <col width="18" customWidth="1" min="11" max="11"/>
    <col width="30" customWidth="1" min="12" max="12"/>
    <col width="12" customWidth="1" min="13" max="13"/>
    <col width="22" customWidth="1" min="14" max="14"/>
    <col width="32" customWidth="1" min="15" max="15"/>
    <col width="27" customWidth="1" min="16" max="16"/>
    <col width="30" customWidth="1" min="17" max="17"/>
    <col width="24" customWidth="1" min="18" max="18"/>
    <col width="12" customWidth="1" min="21" max="21"/>
    <col width="12" customWidth="1" min="22" max="22"/>
    <col width="30" customWidth="1" min="23" max="23"/>
    <col width="21" customWidth="1" min="24" max="24"/>
    <col width="21" customWidth="1" min="25" max="25"/>
    <col width="26" customWidth="1" min="26" max="26"/>
    <col width="27" customWidth="1" min="27" max="27"/>
    <col width="27" customWidth="1" min="28" max="28"/>
    <col width="24" customWidth="1" min="29" max="29"/>
    <col width="27" customWidth="1" min="30" max="30"/>
    <col width="12" customWidth="1" min="33" max="33"/>
    <col width="34" customWidth="1" min="34" max="34"/>
    <col width="24" customWidth="1" min="35" max="35"/>
    <col width="29" customWidth="1" min="36" max="36"/>
    <col width="30" customWidth="1" min="37" max="37"/>
  </cols>
  <sheetData>
    <row r="1">
      <c r="A1" s="137" t="inlineStr">
        <is>
          <t>period</t>
        </is>
      </c>
      <c r="B1" s="136" t="inlineStr">
        <is>
          <t>bookings_tcv</t>
        </is>
      </c>
      <c r="C1" s="136" t="inlineStr">
        <is>
          <t>bookings_acv</t>
        </is>
      </c>
      <c r="D1" s="136" t="inlineStr">
        <is>
          <t>subscription_billings</t>
        </is>
      </c>
      <c r="E1" s="136" t="inlineStr">
        <is>
          <t>exit_arr</t>
        </is>
      </c>
      <c r="F1" s="136" t="inlineStr">
        <is>
          <t>contract_analytical_revenue</t>
        </is>
      </c>
      <c r="G1" s="136" t="inlineStr">
        <is>
          <t>gl_subscription_revenue</t>
        </is>
      </c>
      <c r="H1" s="136" t="inlineStr">
        <is>
          <t>ending_deferred_revenue</t>
        </is>
      </c>
      <c r="I1" s="136" t="inlineStr">
        <is>
          <t>ending_unbilled_receivable</t>
        </is>
      </c>
      <c r="K1" s="136" t="inlineStr">
        <is>
          <t>fiscal_quarter</t>
        </is>
      </c>
      <c r="L1" s="136" t="inlineStr">
        <is>
          <t>beginning_deferred_revenue</t>
        </is>
      </c>
      <c r="M1" s="136" t="inlineStr">
        <is>
          <t>billings</t>
        </is>
      </c>
      <c r="N1" s="136" t="inlineStr">
        <is>
          <t>revenue_recognised</t>
        </is>
      </c>
      <c r="O1" s="136" t="inlineStr">
        <is>
          <t>unbilled_receivable_movement</t>
        </is>
      </c>
      <c r="P1" s="136" t="inlineStr">
        <is>
          <t>ending_deferred_revenue</t>
        </is>
      </c>
      <c r="Q1" s="136" t="inlineStr">
        <is>
          <t>ending_unbilled_receivable</t>
        </is>
      </c>
      <c r="R1" s="136" t="inlineStr">
        <is>
          <t>rollforward_residual</t>
        </is>
      </c>
      <c r="U1" s="136" t="inlineStr">
        <is>
          <t>period</t>
        </is>
      </c>
      <c r="V1" s="136" t="inlineStr">
        <is>
          <t>basis</t>
        </is>
      </c>
      <c r="W1" s="136" t="inlineStr">
        <is>
          <t>beginning_commission_asset</t>
        </is>
      </c>
      <c r="X1" s="136" t="inlineStr">
        <is>
          <t>commission_earned</t>
        </is>
      </c>
      <c r="Y1" s="136" t="inlineStr">
        <is>
          <t>immediate_expense</t>
        </is>
      </c>
      <c r="Z1" s="136" t="inlineStr">
        <is>
          <t>capitalised_commission</t>
        </is>
      </c>
      <c r="AA1" s="136" t="inlineStr">
        <is>
          <t>commission_amortisation</t>
        </is>
      </c>
      <c r="AB1" s="136" t="inlineStr">
        <is>
          <t>gaap_commission_expense</t>
        </is>
      </c>
      <c r="AC1" s="136" t="inlineStr">
        <is>
          <t>commission_paid_cash</t>
        </is>
      </c>
      <c r="AD1" s="136" t="inlineStr">
        <is>
          <t>ending_commission_asset</t>
        </is>
      </c>
      <c r="AG1" s="136" t="inlineStr">
        <is>
          <t>period</t>
        </is>
      </c>
      <c r="AH1" s="136" t="inlineStr">
        <is>
          <t>commission_accounting_adjustment</t>
        </is>
      </c>
      <c r="AI1" s="136" t="inlineStr">
        <is>
          <t>phase6_total_revenue</t>
        </is>
      </c>
      <c r="AJ1" s="136" t="inlineStr">
        <is>
          <t>adjustment_pct_of_revenue</t>
        </is>
      </c>
      <c r="AK1" s="136" t="inlineStr">
        <is>
          <t>largest_monthly_adjustment</t>
        </is>
      </c>
    </row>
    <row r="2">
      <c r="A2" s="19" t="inlineStr">
        <is>
          <t>FY2024</t>
        </is>
      </c>
      <c r="B2" s="48" t="n">
        <v>11262844.51</v>
      </c>
      <c r="C2" s="48" t="n">
        <v>8627313.609999999</v>
      </c>
      <c r="D2" s="48" t="n">
        <v>22912148.92</v>
      </c>
      <c r="E2" s="48" t="n">
        <v>24495197.4</v>
      </c>
      <c r="F2" s="48" t="n">
        <v>21521425.25000001</v>
      </c>
      <c r="G2" s="48" t="n">
        <v>20153756.91</v>
      </c>
      <c r="H2" s="48" t="n">
        <v>6697503.529999999</v>
      </c>
      <c r="I2" s="48" t="n">
        <v>254080.2300000004</v>
      </c>
      <c r="K2" s="19" t="inlineStr">
        <is>
          <t>2024Q1</t>
        </is>
      </c>
      <c r="L2" s="48" t="n">
        <v>5256937.09</v>
      </c>
      <c r="M2" s="48" t="n">
        <v>6718668.05</v>
      </c>
      <c r="N2" s="48" t="n">
        <v>4854374.699999998</v>
      </c>
      <c r="O2" s="48" t="n">
        <v>14456.5299999998</v>
      </c>
      <c r="P2" s="48" t="n">
        <v>7135686.970000001</v>
      </c>
      <c r="Q2" s="48" t="n">
        <v>218693.9900000002</v>
      </c>
      <c r="R2" s="124" t="n">
        <v>0</v>
      </c>
      <c r="U2" s="19" t="inlineStr">
        <is>
          <t>FY2024</t>
        </is>
      </c>
      <c r="V2" s="19" t="inlineStr">
        <is>
          <t>Actual</t>
        </is>
      </c>
      <c r="W2" s="48" t="n">
        <v>0</v>
      </c>
      <c r="X2" s="48" t="n">
        <v>658173.0744</v>
      </c>
      <c r="Y2" s="48" t="n">
        <v>269850.960504</v>
      </c>
      <c r="Z2" s="48" t="n">
        <v>388322.113896</v>
      </c>
      <c r="AA2" s="48" t="n">
        <v>63619.55546966667</v>
      </c>
      <c r="AB2" s="48" t="n">
        <v>333470.5159736667</v>
      </c>
      <c r="AC2" s="48" t="n">
        <v>594628.296387</v>
      </c>
      <c r="AD2" s="48" t="n">
        <v>324702.5584263333</v>
      </c>
      <c r="AG2" s="19" t="inlineStr">
        <is>
          <t>All actual months</t>
        </is>
      </c>
      <c r="AH2" s="124" t="n">
        <v>0.0214995833521243</v>
      </c>
      <c r="AI2" s="48" t="n">
        <v>64154559.15999999</v>
      </c>
      <c r="AJ2" s="123" t="n">
        <v>3.351216754292526e-10</v>
      </c>
      <c r="AK2" s="124" t="n">
        <v>0.0161567500035744</v>
      </c>
    </row>
    <row r="3">
      <c r="A3" s="19" t="inlineStr">
        <is>
          <t>FY2025</t>
        </is>
      </c>
      <c r="B3" s="48" t="n">
        <v>10008615.83</v>
      </c>
      <c r="C3" s="48" t="n">
        <v>9444860.01</v>
      </c>
      <c r="D3" s="48" t="n">
        <v>28991307.89</v>
      </c>
      <c r="E3" s="48" t="n">
        <v>30189315.84</v>
      </c>
      <c r="F3" s="48" t="n">
        <v>27299780.09</v>
      </c>
      <c r="G3" s="48" t="n">
        <v>26597200.51</v>
      </c>
      <c r="H3" s="48" t="n">
        <v>8435939.359999998</v>
      </c>
      <c r="I3" s="48" t="n">
        <v>300988.2600000004</v>
      </c>
      <c r="K3" s="19" t="inlineStr">
        <is>
          <t>2024Q2</t>
        </is>
      </c>
      <c r="L3" s="48" t="n">
        <v>7135686.970000001</v>
      </c>
      <c r="M3" s="48" t="n">
        <v>5136850.4</v>
      </c>
      <c r="N3" s="48" t="n">
        <v>5254093.74</v>
      </c>
      <c r="O3" s="48" t="n">
        <v>2095.25999999998</v>
      </c>
      <c r="P3" s="48" t="n">
        <v>7020538.889999998</v>
      </c>
      <c r="Q3" s="48" t="n">
        <v>220789.2500000001</v>
      </c>
      <c r="R3" s="124" t="n">
        <v>-2.793967723846436e-09</v>
      </c>
      <c r="U3" s="19" t="inlineStr">
        <is>
          <t>FY2025</t>
        </is>
      </c>
      <c r="V3" s="19" t="inlineStr">
        <is>
          <t>Actual</t>
        </is>
      </c>
      <c r="W3" s="48" t="n">
        <v>324702.5584263333</v>
      </c>
      <c r="X3" s="48" t="n">
        <v>709836.1389</v>
      </c>
      <c r="Y3" s="48" t="n">
        <v>291032.816949</v>
      </c>
      <c r="Z3" s="48" t="n">
        <v>418803.3219510001</v>
      </c>
      <c r="AA3" s="48" t="n">
        <v>203290.0250943334</v>
      </c>
      <c r="AB3" s="48" t="n">
        <v>494322.8420433334</v>
      </c>
      <c r="AC3" s="48" t="n">
        <v>722880.539748</v>
      </c>
      <c r="AD3" s="48" t="n">
        <v>540215.8552829999</v>
      </c>
      <c r="AG3" s="19" t="inlineStr">
        <is>
          <t>H2 2026</t>
        </is>
      </c>
      <c r="AH3" s="124" t="n">
        <v>22823.8937889477</v>
      </c>
      <c r="AI3" s="48" t="n">
        <v>17095636.19165137</v>
      </c>
      <c r="AJ3" s="123" t="n">
        <v>0.00133507133241954</v>
      </c>
      <c r="AK3" s="124" t="n">
        <v>5877.783637409826</v>
      </c>
    </row>
    <row r="4">
      <c r="A4" s="19" t="inlineStr">
        <is>
          <t>H1 2026</t>
        </is>
      </c>
      <c r="B4" s="48" t="n">
        <v>6219555.23</v>
      </c>
      <c r="C4" s="48" t="n">
        <v>4973032.189999999</v>
      </c>
      <c r="D4" s="48" t="n">
        <v>17815674.37</v>
      </c>
      <c r="E4" s="48" t="n">
        <v>33016720.32</v>
      </c>
      <c r="F4" s="48" t="n">
        <v>15712815.67999999</v>
      </c>
      <c r="G4" s="48" t="n">
        <v>15360769.6</v>
      </c>
      <c r="H4" s="48" t="n">
        <v>10563773.5</v>
      </c>
      <c r="I4" s="48" t="n">
        <v>325963.7100000005</v>
      </c>
      <c r="K4" s="19" t="inlineStr">
        <is>
          <t>2024Q3</t>
        </is>
      </c>
      <c r="L4" s="48" t="n">
        <v>7020538.889999998</v>
      </c>
      <c r="M4" s="48" t="n">
        <v>4532895.17</v>
      </c>
      <c r="N4" s="48" t="n">
        <v>5533165.25</v>
      </c>
      <c r="O4" s="48" t="n">
        <v>9303.570000000153</v>
      </c>
      <c r="P4" s="48" t="n">
        <v>6029572.379999998</v>
      </c>
      <c r="Q4" s="48" t="n">
        <v>230092.8200000003</v>
      </c>
      <c r="R4" s="124" t="n">
        <v>-1.862645149230957e-09</v>
      </c>
      <c r="U4" s="19" t="inlineStr">
        <is>
          <t>H1 2026</t>
        </is>
      </c>
      <c r="V4" s="19" t="inlineStr">
        <is>
          <t>Actual</t>
        </is>
      </c>
      <c r="W4" s="48" t="n">
        <v>540215.8552829999</v>
      </c>
      <c r="X4" s="48" t="n">
        <v>347144.7429</v>
      </c>
      <c r="Y4" s="48" t="n">
        <v>142329.344589</v>
      </c>
      <c r="Z4" s="48" t="n">
        <v>204815.398311</v>
      </c>
      <c r="AA4" s="48" t="n">
        <v>152513.6188935834</v>
      </c>
      <c r="AB4" s="48" t="n">
        <v>294842.9634825833</v>
      </c>
      <c r="AC4" s="48" t="n">
        <v>354482.2088429999</v>
      </c>
      <c r="AD4" s="48" t="n">
        <v>592517.6347004166</v>
      </c>
      <c r="AG4" s="19" t="inlineStr">
        <is>
          <t>FY2027</t>
        </is>
      </c>
      <c r="AH4" s="124" t="n">
        <v>85829.30891112516</v>
      </c>
      <c r="AI4" s="48" t="n">
        <v>37709181.32500916</v>
      </c>
      <c r="AJ4" s="123" t="n">
        <v>0.002276085183907246</v>
      </c>
      <c r="AK4" s="124" t="n">
        <v>8272.468434771654</v>
      </c>
    </row>
    <row r="5">
      <c r="K5" s="19" t="inlineStr">
        <is>
          <t>2024Q4</t>
        </is>
      </c>
      <c r="L5" s="48" t="n">
        <v>6029572.379999998</v>
      </c>
      <c r="M5" s="48" t="n">
        <v>6523735.3</v>
      </c>
      <c r="N5" s="48" t="n">
        <v>5879791.560000001</v>
      </c>
      <c r="O5" s="48" t="n">
        <v>23987.41000000006</v>
      </c>
      <c r="P5" s="48" t="n">
        <v>6697503.529999999</v>
      </c>
      <c r="Q5" s="48" t="n">
        <v>254080.2300000004</v>
      </c>
      <c r="R5" s="124" t="n">
        <v>9.313225746154787e-10</v>
      </c>
      <c r="U5" s="19" t="inlineStr">
        <is>
          <t>H2 2026</t>
        </is>
      </c>
      <c r="V5" s="19" t="inlineStr">
        <is>
          <t>Base reforecast</t>
        </is>
      </c>
      <c r="W5" s="48" t="n">
        <v>592517.6347004166</v>
      </c>
      <c r="X5" s="48" t="n">
        <v>291529.1809978871</v>
      </c>
      <c r="Y5" s="48" t="n">
        <v>119526.9642091337</v>
      </c>
      <c r="Z5" s="48" t="n">
        <v>172002.2167887534</v>
      </c>
      <c r="AA5" s="48" t="n">
        <v>184881.0337889477</v>
      </c>
      <c r="AB5" s="48" t="n">
        <v>304407.9979980814</v>
      </c>
      <c r="AC5" s="48" t="n">
        <v>296564.5543118884</v>
      </c>
      <c r="AD5" s="48" t="n">
        <v>579638.8177002224</v>
      </c>
    </row>
    <row r="6">
      <c r="K6" s="19" t="inlineStr">
        <is>
          <t>2025Q1</t>
        </is>
      </c>
      <c r="L6" s="48" t="n">
        <v>6697503.529999999</v>
      </c>
      <c r="M6" s="48" t="n">
        <v>8222840.05</v>
      </c>
      <c r="N6" s="48" t="n">
        <v>6310786.96</v>
      </c>
      <c r="O6" s="48" t="n">
        <v>13269.76999999964</v>
      </c>
      <c r="P6" s="48" t="n">
        <v>8622826.389999999</v>
      </c>
      <c r="Q6" s="48" t="n">
        <v>267350</v>
      </c>
      <c r="R6" s="124" t="n">
        <v>-2.793967723846436e-09</v>
      </c>
      <c r="U6" s="19" t="inlineStr">
        <is>
          <t>FY2027</t>
        </is>
      </c>
      <c r="V6" s="19" t="inlineStr">
        <is>
          <t>Forward projection</t>
        </is>
      </c>
      <c r="W6" s="48" t="n">
        <v>579638.8177002224</v>
      </c>
      <c r="X6" s="48" t="n">
        <v>736488.7931511865</v>
      </c>
      <c r="Y6" s="48" t="n">
        <v>301960.4051919865</v>
      </c>
      <c r="Z6" s="48" t="n">
        <v>434528.3879592001</v>
      </c>
      <c r="AA6" s="48" t="n">
        <v>409943.5889111252</v>
      </c>
      <c r="AB6" s="48" t="n">
        <v>711903.9941031117</v>
      </c>
      <c r="AC6" s="48" t="n">
        <v>736558.5717667184</v>
      </c>
      <c r="AD6" s="48" t="n">
        <v>604223.6167482971</v>
      </c>
    </row>
    <row r="7">
      <c r="K7" s="19" t="inlineStr">
        <is>
          <t>2025Q2</t>
        </is>
      </c>
      <c r="L7" s="48" t="n">
        <v>8622826.389999999</v>
      </c>
      <c r="M7" s="48" t="n">
        <v>6522222.889999999</v>
      </c>
      <c r="N7" s="48" t="n">
        <v>6679879.25</v>
      </c>
      <c r="O7" s="48" t="n">
        <v>12602.10000000003</v>
      </c>
      <c r="P7" s="48" t="n">
        <v>8477772.129999999</v>
      </c>
      <c r="Q7" s="48" t="n">
        <v>279952.1</v>
      </c>
      <c r="R7" s="124" t="n">
        <v>1.862645149230957e-09</v>
      </c>
    </row>
    <row r="8">
      <c r="K8" s="19" t="inlineStr">
        <is>
          <t>2025Q3</t>
        </is>
      </c>
      <c r="L8" s="48" t="n">
        <v>8477772.129999999</v>
      </c>
      <c r="M8" s="48" t="n">
        <v>5664441.810000001</v>
      </c>
      <c r="N8" s="48" t="n">
        <v>6948279.08</v>
      </c>
      <c r="O8" s="48" t="n">
        <v>5188.730000000155</v>
      </c>
      <c r="P8" s="48" t="n">
        <v>7199123.590000001</v>
      </c>
      <c r="Q8" s="48" t="n">
        <v>285140.8300000002</v>
      </c>
      <c r="R8" s="124" t="n">
        <v>9.313225746154787e-10</v>
      </c>
    </row>
    <row r="9">
      <c r="K9" s="19" t="inlineStr">
        <is>
          <t>2025Q4</t>
        </is>
      </c>
      <c r="L9" s="48" t="n">
        <v>7199123.590000001</v>
      </c>
      <c r="M9" s="48" t="n">
        <v>8581803.140000001</v>
      </c>
      <c r="N9" s="48" t="n">
        <v>7360834.800000001</v>
      </c>
      <c r="O9" s="48" t="n">
        <v>15847.43000000023</v>
      </c>
      <c r="P9" s="48" t="n">
        <v>8435939.359999998</v>
      </c>
      <c r="Q9" s="48" t="n">
        <v>300988.2600000004</v>
      </c>
      <c r="R9" s="124" t="n">
        <v>-1.862645149230957e-09</v>
      </c>
    </row>
    <row r="10">
      <c r="K10" s="19" t="inlineStr">
        <is>
          <t>2026Q1</t>
        </is>
      </c>
      <c r="L10" s="48" t="n">
        <v>8435939.359999998</v>
      </c>
      <c r="M10" s="48" t="n">
        <v>10747789.11</v>
      </c>
      <c r="N10" s="48" t="n">
        <v>7633041.97</v>
      </c>
      <c r="O10" s="48" t="n">
        <v>7109.839999999735</v>
      </c>
      <c r="P10" s="48" t="n">
        <v>11557796.34</v>
      </c>
      <c r="Q10" s="48" t="n">
        <v>308098.1000000001</v>
      </c>
      <c r="R10" s="124" t="n">
        <v>1.862645149230957e-09</v>
      </c>
    </row>
    <row r="11">
      <c r="K11" s="19" t="inlineStr">
        <is>
          <t>2026Q2</t>
        </is>
      </c>
      <c r="L11" s="48" t="n">
        <v>11557796.34</v>
      </c>
      <c r="M11" s="48" t="n">
        <v>7067885.260000002</v>
      </c>
      <c r="N11" s="48" t="n">
        <v>8079773.71</v>
      </c>
      <c r="O11" s="48" t="n">
        <v>17865.61000000034</v>
      </c>
      <c r="P11" s="48" t="n">
        <v>10563773.5</v>
      </c>
      <c r="Q11" s="48" t="n">
        <v>325963.7100000005</v>
      </c>
      <c r="R11" s="124" t="n">
        <v>1.862645149230957e-09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26" customWidth="1" min="9" max="9"/>
    <col width="21" customWidth="1" min="10" max="10"/>
    <col width="16" customWidth="1" min="11" max="11"/>
  </cols>
  <sheetData>
    <row r="1">
      <c r="A1" s="137" t="inlineStr">
        <is>
          <t>exec_rank</t>
        </is>
      </c>
      <c r="B1" s="136" t="inlineStr">
        <is>
          <t>commentary_id</t>
        </is>
      </c>
      <c r="C1" s="136" t="inlineStr">
        <is>
          <t>priority</t>
        </is>
      </c>
      <c r="D1" s="136" t="inlineStr">
        <is>
          <t>section</t>
        </is>
      </c>
      <c r="E1" s="136" t="inlineStr">
        <is>
          <t>metric</t>
        </is>
      </c>
      <c r="F1" s="136" t="inlineStr">
        <is>
          <t>headline</t>
        </is>
      </c>
      <c r="G1" s="136" t="inlineStr">
        <is>
          <t>detail</t>
        </is>
      </c>
      <c r="H1" s="136" t="inlineStr">
        <is>
          <t>supporting_evidence</t>
        </is>
      </c>
      <c r="I1" s="136" t="inlineStr">
        <is>
          <t>management_implication</t>
        </is>
      </c>
      <c r="J1" s="136" t="inlineStr">
        <is>
          <t>materiality_score</t>
        </is>
      </c>
      <c r="K1" s="136" t="inlineStr">
        <is>
          <t>source_model</t>
        </is>
      </c>
    </row>
    <row r="2">
      <c r="A2" s="48" t="n">
        <v>1</v>
      </c>
      <c r="B2" s="48" t="n">
        <v>1</v>
      </c>
      <c r="C2" s="19" t="inlineStr">
        <is>
          <t>Critical</t>
        </is>
      </c>
      <c r="D2" s="19" t="inlineStr">
        <is>
          <t>Runway</t>
        </is>
      </c>
      <c r="E2" s="19" t="inlineStr">
        <is>
          <t>policy_runway_months</t>
        </is>
      </c>
      <c r="F2" s="19" t="inlineStr">
        <is>
          <t>Bear policy runway falls below the 24-month Board floor, while Base and Bull remain above it.</t>
        </is>
      </c>
      <c r="G2" s="19" t="inlineStr">
        <is>
          <t>Base policy runway is 25.6 months (1.6 months of headroom). Bear policy runway is 23.5 months (breaches the floor by 0.5 months). Bull policy runway is 28.3 months. Full Capacity-Close hiring runs at 24.7 months (0.7 months of headroom) -- technically affordable but on materially thinner headroom than Base.</t>
        </is>
      </c>
      <c r="H2" s="19" t="inlineStr">
        <is>
          <t>fct_cash_runway_policy is a level-plus-delta sensitivity on the approved FY2027 average burn anchor, not a monthly cash-flow-statement build.</t>
        </is>
      </c>
      <c r="I2" s="19" t="inlineStr">
        <is>
          <t>A Bear operating scenario would breach the Board's 24-month runway floor on the current cost base; this is a scenario risk to monitor, not the Base-case plan.</t>
        </is>
      </c>
      <c r="J2" s="124" t="n">
        <v>1.647058823529413</v>
      </c>
      <c r="K2" s="19" t="inlineStr">
        <is>
          <t>fct_cash_runway_policy</t>
        </is>
      </c>
    </row>
    <row r="3">
      <c r="A3" s="48" t="n">
        <v>2</v>
      </c>
      <c r="B3" s="48" t="n">
        <v>2</v>
      </c>
      <c r="C3" s="19" t="inlineStr">
        <is>
          <t>High</t>
        </is>
      </c>
      <c r="D3" s="19" t="inlineStr">
        <is>
          <t>ARR</t>
        </is>
      </c>
      <c r="E3" s="19" t="inlineStr">
        <is>
          <t>new_logo_arr</t>
        </is>
      </c>
      <c r="F3" s="19" t="inlineStr">
        <is>
          <t>FY2026 New Logo ARR is $2.79M below Budget.</t>
        </is>
      </c>
      <c r="G3" s="19" t="inlineStr">
        <is>
          <t>Pipeline is the binding constraint on New Logo ARR in H2 2026 (15 of 18 segment-months pipeline-bound, 3 capacity-bound). Pipeline-supported bookings total $1.22M against capacity-supported bookings of $2.92M over the same window.</t>
        </is>
      </c>
      <c r="H3" s="19" t="inlineStr">
        <is>
          <t>H2 2026 realised (constrained) New Logo ARR: $1.18M.</t>
        </is>
      </c>
      <c r="I3" s="19" t="inlineStr">
        <is>
          <t>Additional sales capacity alone would not close this gap while pipeline remains the binding constraint; pipeline creation and conversion are the more relevant levers.</t>
        </is>
      </c>
      <c r="J3" s="124" t="n">
        <v>2793686.486435552</v>
      </c>
      <c r="K3" s="19" t="inlineStr">
        <is>
          <t>fct_new_logo_diagnosis</t>
        </is>
      </c>
    </row>
    <row r="4">
      <c r="A4" s="48" t="n">
        <v>3</v>
      </c>
      <c r="B4" s="48" t="n">
        <v>3</v>
      </c>
      <c r="C4" s="19" t="inlineStr">
        <is>
          <t>High</t>
        </is>
      </c>
      <c r="D4" s="19" t="inlineStr">
        <is>
          <t>ARR</t>
        </is>
      </c>
      <c r="E4" s="19" t="inlineStr">
        <is>
          <t>exit_arr</t>
        </is>
      </c>
      <c r="F4" s="19" t="inlineStr">
        <is>
          <t>Dec-2026 Exit ARR is $2.77M below Budget.</t>
        </is>
      </c>
      <c r="G4" s="19" t="inlineStr">
        <is>
          <t>The largest unfavorable driver is New Logo ARR variance at $2.79M unfavorable to Budget. Contraction ARR variance is another material unfavorable driver at $1.22M. This is partly offset by Expansion ARR variance at $1.54M favorable.</t>
        </is>
      </c>
      <c r="H4" s="19" t="inlineStr">
        <is>
          <t>Pipeline is the binding New Logo constraint in 15 of 18 H2 2026 segment-months (Pipeline-bound overall).</t>
        </is>
      </c>
      <c r="I4" s="19" t="inlineStr">
        <is>
          <t>Near-term ARR growth depends more on pipeline creation and conversion than on adding quota capacity.</t>
        </is>
      </c>
      <c r="J4" s="124" t="n">
        <v>2772899.275202341</v>
      </c>
      <c r="K4" s="19" t="inlineStr">
        <is>
          <t>fct_arr_budget_bridge</t>
        </is>
      </c>
    </row>
    <row r="5">
      <c r="A5" s="48" t="n">
        <v>4</v>
      </c>
      <c r="B5" s="48" t="n">
        <v>4</v>
      </c>
      <c r="C5" s="19" t="inlineStr">
        <is>
          <t>High</t>
        </is>
      </c>
      <c r="D5" s="19" t="inlineStr">
        <is>
          <t>Hiring</t>
        </is>
      </c>
      <c r="E5" s="19" t="inlineStr">
        <is>
          <t>hiring_decision</t>
        </is>
      </c>
      <c r="F5" s="19" t="inlineStr">
        <is>
          <t>Full Capacity-Close hiring (4 hires) is affordable against the Board's 24-month runway floor: 24.7 months (0.7 months of headroom). Targeted / Runway-Constrained hiring computes to 0 incremental hires.</t>
        </is>
      </c>
      <c r="G5" s="19" t="inlineStr">
        <is>
          <t>On the FY2027 fuller-ramp decision horizon, Full Capacity-Close is projected to add $147,322 of incremental ARR by Dec-2027, at a cumulative incremental cash cost of $637,083 and an incremental operating income of -$31,367 that month (still negative) -- this is the view management should use to judge economic attractiveness, not the ramp-period snapshot. Near-term Dec-2026 ramp impact (hires start Oct-2026, so this is a snapshot only weeks into ramp): $467 of incremental ARR at an incremental cash cost of $139,065.</t>
        </is>
      </c>
      <c r="H5" s="19" t="inlineStr">
        <is>
          <t>Pipeline binds New Logo ARR in 15 of 18 H2 2026 segment-months company-wide.</t>
        </is>
      </c>
      <c r="I5" s="19" t="inlineStr">
        <is>
          <t>Affordability and attractiveness are separate questions: Full Capacity-Close is affordable, but pipeline -- not capacity -- is the binding constraint on New Logo ARR, which weakens the case for incremental hiring ahead of pipeline improvement -- even on the fuller FY2027 ramp view, incremental operating income remains negative. Targeted hiring reflects this: it computes to hires only where forward capacity would trail pipeline, which is nowhere in the current data.</t>
        </is>
      </c>
      <c r="J5" s="124" t="n">
        <v>4</v>
      </c>
      <c r="K5" s="19" t="inlineStr">
        <is>
          <t>fct_hiring_scenario</t>
        </is>
      </c>
    </row>
    <row r="6">
      <c r="A6" s="48" t="n">
        <v>5</v>
      </c>
      <c r="B6" s="48" t="n">
        <v>5</v>
      </c>
      <c r="C6" s="19" t="inlineStr">
        <is>
          <t>Medium</t>
        </is>
      </c>
      <c r="D6" s="19" t="inlineStr">
        <is>
          <t>Segment</t>
        </is>
      </c>
      <c r="E6" s="19" t="inlineStr">
        <is>
          <t>segment_arr</t>
        </is>
      </c>
      <c r="F6" s="19" t="inlineStr">
        <is>
          <t>SMB Exit ARR is $2.00M below its allocated share of the company Budget, the largest segment-level ARR gap against the allocated Budget proxy.</t>
        </is>
      </c>
      <c r="G6" s="19" t="inlineStr">
        <is>
          <t>The largest driver within SMB is New Logo ARR variance at $0.98M unfavorable to the allocated Budget proxy.</t>
        </is>
      </c>
      <c r="H6" s="19" t="inlineStr">
        <is>
          <t>Segment bridge detail (Budget allocated by FY2025 mix, Base segment-native) is in fct_arr_budget_bridge.</t>
        </is>
      </c>
      <c r="I6" s="19" t="inlineStr">
        <is>
          <t>Segment-level Budget figures are allocated from the company plan (fact_budget carries no segment grain), not an independently Board-approved segment target; read this alongside the segment-native Base figures and do not treat it with the same weight as a source-grain company variance.</t>
        </is>
      </c>
      <c r="J6" s="124" t="n">
        <v>1999776.446420422</v>
      </c>
      <c r="K6" s="19" t="inlineStr">
        <is>
          <t>fct_arr_budget_bridge</t>
        </is>
      </c>
    </row>
    <row r="7">
      <c r="A7" s="48" t="n">
        <v>6</v>
      </c>
      <c r="B7" s="48" t="n">
        <v>6</v>
      </c>
      <c r="C7" s="19" t="inlineStr">
        <is>
          <t>Medium</t>
        </is>
      </c>
      <c r="D7" s="19" t="inlineStr">
        <is>
          <t>OpEx</t>
        </is>
      </c>
      <c r="E7" s="19" t="inlineStr">
        <is>
          <t>total_opex</t>
        </is>
      </c>
      <c r="F7" s="19" t="inlineStr">
        <is>
          <t>FY2026 OpEx is $0.87M above Budget.</t>
        </is>
      </c>
      <c r="G7" s="19" t="inlineStr">
        <is>
          <t>The variance is primarily Payroll impact (all categories) at $2.41M unfavorable to Budget.</t>
        </is>
      </c>
      <c r="H7" s="19" t="inlineStr">
        <is>
          <t>Category-level detail (Sales &amp; Marketing / R&amp;D / G&amp;A, each split payroll / commissions / non-payroll) is in fct_opex_budget_bridge.</t>
        </is>
      </c>
      <c r="I7" s="19" t="inlineStr">
        <is>
          <t>Cost detail is provided for review; this report does not recommend a cost reduction based on the OpEx variance alone.</t>
        </is>
      </c>
      <c r="J7" s="124" t="n">
        <v>871551.317246899</v>
      </c>
      <c r="K7" s="19" t="inlineStr">
        <is>
          <t>fct_opex_budget_bridge</t>
        </is>
      </c>
    </row>
    <row r="8">
      <c r="A8" s="48" t="n">
        <v>7</v>
      </c>
      <c r="B8" s="48" t="n">
        <v>7</v>
      </c>
      <c r="C8" s="19" t="inlineStr">
        <is>
          <t>Medium</t>
        </is>
      </c>
      <c r="D8" s="19" t="inlineStr">
        <is>
          <t>Revenue</t>
        </is>
      </c>
      <c r="E8" s="19" t="inlineStr">
        <is>
          <t>total_revenue</t>
        </is>
      </c>
      <c r="F8" s="19" t="inlineStr">
        <is>
          <t>FY2026 Revenue is $0.84M below Budget.</t>
        </is>
      </c>
      <c r="G8" s="19" t="inlineStr">
        <is>
          <t>The largest single driver is Subscription: ARR / recurring-base effect at $0.43M unfavorable to Budget.</t>
        </is>
      </c>
      <c r="H8" s="19" t="inlineStr">
        <is>
          <t>Revenue decomposition ties to the ARR bridge: see fct_arr_budget_bridge for the underlying New Logo / Expansion / retention movements.</t>
        </is>
      </c>
      <c r="I8" s="19" t="inlineStr">
        <is>
          <t>Revenue is a lagged function of ARR; a revenue shortfall driven by the ARR / recurring-base effect will persist into FY2027 unless the underlying ARR gap closes.</t>
        </is>
      </c>
      <c r="J8" s="124" t="n">
        <v>841657.0083486214</v>
      </c>
      <c r="K8" s="19" t="inlineStr">
        <is>
          <t>fct_revenue_budget_bridge</t>
        </is>
      </c>
    </row>
    <row r="9">
      <c r="A9" s="48" t="n">
        <v>8</v>
      </c>
      <c r="B9" s="48" t="n">
        <v>8</v>
      </c>
      <c r="C9" s="19" t="inlineStr">
        <is>
          <t>Medium</t>
        </is>
      </c>
      <c r="D9" s="19" t="inlineStr">
        <is>
          <t>Profitability</t>
        </is>
      </c>
      <c r="E9" s="19" t="inlineStr">
        <is>
          <t>gross_profit</t>
        </is>
      </c>
      <c r="F9" s="19" t="inlineStr">
        <is>
          <t>FY2026 Gross Profit is $0.78M above Budget despite lower Revenue.</t>
        </is>
      </c>
      <c r="G9" s="19" t="inlineStr">
        <is>
          <t>Gross margin is 429 bps above Budget. Favorable Subscription COGS (+$1.66M) more than offsets the smaller unfavorable Services COGS variance (-$0.04M). Revenue itself ran $0.84M below Budget over the same period.</t>
        </is>
      </c>
      <c r="H9" s="19" t="inlineStr">
        <is>
          <t>COGS driver detail (payroll vs. non-payroll, by Subscription/Services) is in fct_gross_profit_bridge.</t>
        </is>
      </c>
      <c r="I9" s="19" t="inlineStr">
        <is>
          <t>The margin improvement traces to lower Subscription cost of revenue, which more than offsets a smaller unfavorable Services COGS variance; it is not a revenue mix shift.</t>
        </is>
      </c>
      <c r="J9" s="124" t="n">
        <v>783329.0261156633</v>
      </c>
      <c r="K9" s="19" t="inlineStr">
        <is>
          <t>fct_gross_profit_bridge</t>
        </is>
      </c>
    </row>
    <row r="10">
      <c r="A10" s="48" t="n">
        <v>9</v>
      </c>
      <c r="B10" s="48" t="n">
        <v>9</v>
      </c>
      <c r="C10" s="19" t="inlineStr">
        <is>
          <t>Medium</t>
        </is>
      </c>
      <c r="D10" s="19" t="inlineStr">
        <is>
          <t>Headcount</t>
        </is>
      </c>
      <c r="E10" s="19" t="inlineStr">
        <is>
          <t>ending_headcount</t>
        </is>
      </c>
      <c r="F10" s="19" t="inlineStr">
        <is>
          <t>Dec-2026 Ending Headcount is 3.7 FTE above Budget.</t>
        </is>
      </c>
      <c r="G10" s="19" t="inlineStr">
        <is>
          <t>fact_budget carries Ending Headcount as a single company-level statistical figure with no functional breakdown, so this variance cannot be bridged by function against Budget; Base's own ending headcount by function is in fct_headcount_budget_bridge.</t>
        </is>
      </c>
      <c r="H10" s="19" t="inlineStr">
        <is>
          <t>Base headcount build: existing population net-of-backfill attrition plus already-open requisitions across all functions (fill date 31-Aug-2026).</t>
        </is>
      </c>
      <c r="I10" s="19" t="inlineStr">
        <is>
          <t>Headcount variance is not automatically favorable or unfavorable; read alongside the OpEx payroll driver detail before drawing a conclusion.</t>
        </is>
      </c>
      <c r="J10" s="124" t="n">
        <v>3.66246733183948</v>
      </c>
      <c r="K10" s="19" t="inlineStr">
        <is>
          <t>fct_headcount_budget_bridge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7" t="inlineStr">
        <is>
          <t>arr_bridge</t>
        </is>
      </c>
      <c r="B1" s="69" t="inlineStr">
        <is>
          <t>Base</t>
        </is>
      </c>
      <c r="C1" s="69" t="inlineStr">
        <is>
          <t>Anchor</t>
        </is>
      </c>
      <c r="D1" s="69" t="inlineStr">
        <is>
          <t>Increase</t>
        </is>
      </c>
      <c r="E1" s="69" t="inlineStr">
        <is>
          <t>Decrease</t>
        </is>
      </c>
    </row>
    <row r="2">
      <c r="A2" s="19" t="inlineStr">
        <is>
          <t>Budget</t>
        </is>
      </c>
      <c r="B2" s="48" t="n">
        <v>0</v>
      </c>
      <c r="C2" s="48" t="n">
        <v>37589315.84</v>
      </c>
      <c r="D2" s="48" t="n"/>
      <c r="E2" s="48" t="n"/>
    </row>
    <row r="3">
      <c r="A3" s="19" t="inlineStr">
        <is>
          <t>Opening</t>
        </is>
      </c>
      <c r="B3" s="48" t="n">
        <v>37589315.84</v>
      </c>
      <c r="C3" s="48" t="n"/>
      <c r="D3" s="48" t="n"/>
      <c r="E3" s="48" t="n"/>
    </row>
    <row r="4">
      <c r="A4" s="19" t="inlineStr">
        <is>
          <t>New Logo</t>
        </is>
      </c>
      <c r="B4" s="48" t="n">
        <v>34795629.35356445</v>
      </c>
      <c r="C4" s="48" t="n"/>
      <c r="D4" s="48" t="n"/>
      <c r="E4" s="48" t="n">
        <v>2793686.486435552</v>
      </c>
    </row>
    <row r="5">
      <c r="A5" s="19" t="inlineStr">
        <is>
          <t>Expansion</t>
        </is>
      </c>
      <c r="B5" s="48" t="n">
        <v>34795629.35356445</v>
      </c>
      <c r="C5" s="48" t="n"/>
      <c r="D5" s="48" t="n">
        <v>1538102.552951446</v>
      </c>
      <c r="E5" s="48" t="n"/>
    </row>
    <row r="6">
      <c r="A6" s="19" t="inlineStr">
        <is>
          <t>Reactivation</t>
        </is>
      </c>
      <c r="B6" s="48" t="n">
        <v>36244781.5865159</v>
      </c>
      <c r="C6" s="48" t="n"/>
      <c r="D6" s="48" t="n"/>
      <c r="E6" s="48" t="n">
        <v>88950.32000000004</v>
      </c>
    </row>
    <row r="7">
      <c r="A7" s="19" t="inlineStr">
        <is>
          <t>Contraction</t>
        </is>
      </c>
      <c r="B7" s="48" t="n">
        <v>35025386.27211671</v>
      </c>
      <c r="C7" s="48" t="n"/>
      <c r="D7" s="48" t="n"/>
      <c r="E7" s="48" t="n">
        <v>1219395.314399192</v>
      </c>
    </row>
    <row r="8">
      <c r="A8" s="19" t="inlineStr">
        <is>
          <t>Churn</t>
        </is>
      </c>
      <c r="B8" s="48" t="n">
        <v>34816416.56479766</v>
      </c>
      <c r="C8" s="48" t="n"/>
      <c r="D8" s="48" t="n"/>
      <c r="E8" s="48" t="n">
        <v>208969.707319044</v>
      </c>
    </row>
    <row r="9">
      <c r="A9" s="19" t="inlineStr">
        <is>
          <t>Base</t>
        </is>
      </c>
      <c r="B9" s="48" t="n">
        <v>0</v>
      </c>
      <c r="C9" s="48" t="n">
        <v>34816416.56479766</v>
      </c>
      <c r="D9" s="48" t="n"/>
      <c r="E9" s="48" t="n"/>
    </row>
    <row r="12">
      <c r="A12" s="37" t="inlineStr">
        <is>
          <t>gp_bridge</t>
        </is>
      </c>
      <c r="B12" s="69" t="inlineStr">
        <is>
          <t>Base</t>
        </is>
      </c>
      <c r="C12" s="69" t="inlineStr">
        <is>
          <t>Anchor</t>
        </is>
      </c>
      <c r="D12" s="69" t="inlineStr">
        <is>
          <t>Increase</t>
        </is>
      </c>
      <c r="E12" s="69" t="inlineStr">
        <is>
          <t>Decrease</t>
        </is>
      </c>
    </row>
    <row r="13">
      <c r="A13" s="19" t="inlineStr">
        <is>
          <t>Budget</t>
        </is>
      </c>
      <c r="B13" s="48" t="n">
        <v>0</v>
      </c>
      <c r="C13" s="48" t="n">
        <v>24911442.95</v>
      </c>
      <c r="D13" s="48" t="n"/>
      <c r="E13" s="48" t="n"/>
    </row>
    <row r="14">
      <c r="A14" s="19" t="inlineStr">
        <is>
          <t>Revenue</t>
        </is>
      </c>
      <c r="B14" s="48" t="n">
        <v>24069785.94165138</v>
      </c>
      <c r="C14" s="48" t="n"/>
      <c r="D14" s="48" t="n"/>
      <c r="E14" s="48" t="n">
        <v>841657.0083486214</v>
      </c>
    </row>
    <row r="15">
      <c r="A15" s="19" t="inlineStr">
        <is>
          <t>Subs COGS payroll</t>
        </is>
      </c>
      <c r="B15" s="48" t="n">
        <v>24069785.94165138</v>
      </c>
      <c r="C15" s="48" t="n"/>
      <c r="D15" s="48" t="n">
        <v>1315484.140200107</v>
      </c>
      <c r="E15" s="48" t="n"/>
    </row>
    <row r="16">
      <c r="A16" s="19" t="inlineStr">
        <is>
          <t>Subs COGS non-payroll</t>
        </is>
      </c>
      <c r="B16" s="48" t="n">
        <v>25385270.08185149</v>
      </c>
      <c r="C16" s="48" t="n"/>
      <c r="D16" s="48" t="n">
        <v>345292.4900000002</v>
      </c>
      <c r="E16" s="48" t="n"/>
    </row>
    <row r="17">
      <c r="A17" s="19" t="inlineStr">
        <is>
          <t>Svcs COGS payroll</t>
        </is>
      </c>
      <c r="B17" s="48" t="n">
        <v>25686479.88611566</v>
      </c>
      <c r="C17" s="48" t="n"/>
      <c r="D17" s="48" t="n"/>
      <c r="E17" s="48" t="n">
        <v>44082.68573582219</v>
      </c>
    </row>
    <row r="18">
      <c r="A18" s="19" t="inlineStr">
        <is>
          <t>Svcs COGS non-payroll</t>
        </is>
      </c>
      <c r="B18" s="48" t="n">
        <v>25686479.88611566</v>
      </c>
      <c r="C18" s="48" t="n"/>
      <c r="D18" s="48" t="n">
        <v>8292.090000000011</v>
      </c>
      <c r="E18" s="48" t="n"/>
    </row>
    <row r="19">
      <c r="A19" s="19" t="inlineStr">
        <is>
          <t>Base</t>
        </is>
      </c>
      <c r="B19" s="48" t="n">
        <v>0</v>
      </c>
      <c r="C19" s="48" t="n">
        <v>25694771.97611566</v>
      </c>
      <c r="D19" s="48" t="n"/>
      <c r="E19" s="48" t="n"/>
    </row>
    <row r="22">
      <c r="A22" s="37" t="inlineStr">
        <is>
          <t>opex_bridge</t>
        </is>
      </c>
      <c r="B22" s="69" t="inlineStr">
        <is>
          <t>Base</t>
        </is>
      </c>
      <c r="C22" s="69" t="inlineStr">
        <is>
          <t>Anchor</t>
        </is>
      </c>
      <c r="D22" s="69" t="inlineStr">
        <is>
          <t>Increase</t>
        </is>
      </c>
      <c r="E22" s="69" t="inlineStr">
        <is>
          <t>Decrease</t>
        </is>
      </c>
    </row>
    <row r="23">
      <c r="A23" s="19" t="inlineStr">
        <is>
          <t>Budget</t>
        </is>
      </c>
      <c r="B23" s="48" t="n">
        <v>0</v>
      </c>
      <c r="C23" s="48" t="n">
        <v>30536909.83</v>
      </c>
      <c r="D23" s="48" t="n"/>
      <c r="E23" s="48" t="n"/>
    </row>
    <row r="24">
      <c r="A24" s="19" t="inlineStr">
        <is>
          <t>Payroll</t>
        </is>
      </c>
      <c r="B24" s="48" t="n">
        <v>30536909.83</v>
      </c>
      <c r="C24" s="48" t="n"/>
      <c r="D24" s="48" t="n">
        <v>2409941.953037763</v>
      </c>
      <c r="E24" s="48" t="n"/>
    </row>
    <row r="25">
      <c r="A25" s="19" t="inlineStr">
        <is>
          <t>Commissions</t>
        </is>
      </c>
      <c r="B25" s="48" t="n">
        <v>32848584.6772469</v>
      </c>
      <c r="C25" s="48" t="n"/>
      <c r="D25" s="48" t="n"/>
      <c r="E25" s="48" t="n">
        <v>98267.10579086628</v>
      </c>
    </row>
    <row r="26">
      <c r="A26" s="19" t="inlineStr">
        <is>
          <t>Non-payroll</t>
        </is>
      </c>
      <c r="B26" s="48" t="n">
        <v>31408461.1472469</v>
      </c>
      <c r="C26" s="48" t="n"/>
      <c r="D26" s="48" t="n"/>
      <c r="E26" s="48" t="n">
        <v>1440123.530000001</v>
      </c>
    </row>
    <row r="27">
      <c r="A27" s="19" t="inlineStr">
        <is>
          <t>Base</t>
        </is>
      </c>
      <c r="B27" s="48" t="n">
        <v>0</v>
      </c>
      <c r="C27" s="48" t="n">
        <v>31408461.1472469</v>
      </c>
      <c r="D27" s="48" t="n"/>
      <c r="E27" s="48" t="n"/>
    </row>
    <row r="30">
      <c r="A30" s="37" t="inlineStr">
        <is>
          <t>oi_bridge</t>
        </is>
      </c>
      <c r="B30" s="69" t="inlineStr">
        <is>
          <t>Base</t>
        </is>
      </c>
      <c r="C30" s="69" t="inlineStr">
        <is>
          <t>Anchor</t>
        </is>
      </c>
      <c r="D30" s="69" t="inlineStr">
        <is>
          <t>Increase</t>
        </is>
      </c>
      <c r="E30" s="69" t="inlineStr">
        <is>
          <t>Decrease</t>
        </is>
      </c>
    </row>
    <row r="31">
      <c r="A31" s="19" t="inlineStr">
        <is>
          <t>Budget Operating Income /</t>
        </is>
      </c>
      <c r="B31" s="48" t="n">
        <v>0</v>
      </c>
      <c r="C31" s="48" t="n">
        <v>-5625466.879999995</v>
      </c>
      <c r="D31" s="48" t="n"/>
      <c r="E31" s="48" t="n"/>
    </row>
    <row r="32">
      <c r="A32" s="19" t="inlineStr">
        <is>
          <t>Subscription rev</t>
        </is>
      </c>
      <c r="B32" s="48" t="n">
        <v>-6050482.951249175</v>
      </c>
      <c r="C32" s="48" t="n"/>
      <c r="D32" s="48" t="n"/>
      <c r="E32" s="48" t="n">
        <v>425016.0712491795</v>
      </c>
    </row>
    <row r="33">
      <c r="A33" s="19" t="inlineStr">
        <is>
          <t>Services rev</t>
        </is>
      </c>
      <c r="B33" s="48" t="n">
        <v>-6467123.888348622</v>
      </c>
      <c r="C33" s="48" t="n"/>
      <c r="D33" s="48" t="n"/>
      <c r="E33" s="48" t="n">
        <v>416640.9370994475</v>
      </c>
    </row>
    <row r="34">
      <c r="A34" s="19" t="inlineStr">
        <is>
          <t>Subs COGS</t>
        </is>
      </c>
      <c r="B34" s="48" t="n">
        <v>-6467123.888348622</v>
      </c>
      <c r="C34" s="48" t="n"/>
      <c r="D34" s="48" t="n">
        <v>1660776.630200107</v>
      </c>
      <c r="E34" s="48" t="n"/>
    </row>
    <row r="35">
      <c r="A35" s="19" t="inlineStr">
        <is>
          <t>Svcs COGS</t>
        </is>
      </c>
      <c r="B35" s="48" t="n">
        <v>-4842137.853884337</v>
      </c>
      <c r="C35" s="48" t="n"/>
      <c r="D35" s="48" t="n"/>
      <c r="E35" s="48" t="n">
        <v>35790.59573582222</v>
      </c>
    </row>
    <row r="36">
      <c r="A36" s="19" t="inlineStr">
        <is>
          <t>S&amp;M</t>
        </is>
      </c>
      <c r="B36" s="48" t="n">
        <v>-5743289.9952468</v>
      </c>
      <c r="C36" s="48" t="n"/>
      <c r="D36" s="48" t="n"/>
      <c r="E36" s="48" t="n">
        <v>901152.1413624622</v>
      </c>
    </row>
    <row r="37">
      <c r="A37" s="19" t="inlineStr">
        <is>
          <t>R&amp;D</t>
        </is>
      </c>
      <c r="B37" s="48" t="n">
        <v>-5743289.9952468</v>
      </c>
      <c r="C37" s="48" t="n"/>
      <c r="D37" s="48" t="n">
        <v>80429.13787378557</v>
      </c>
      <c r="E37" s="48" t="n"/>
    </row>
    <row r="38">
      <c r="A38" s="19" t="inlineStr">
        <is>
          <t>G&amp;A</t>
        </is>
      </c>
      <c r="B38" s="48" t="n">
        <v>-5713689.171131236</v>
      </c>
      <c r="C38" s="48" t="n"/>
      <c r="D38" s="48" t="n"/>
      <c r="E38" s="48" t="n">
        <v>50828.31375822145</v>
      </c>
    </row>
    <row r="39">
      <c r="A39" s="19" t="inlineStr">
        <is>
          <t>Base Operating Income /</t>
        </is>
      </c>
      <c r="B39" s="48" t="n">
        <v>0</v>
      </c>
      <c r="C39" s="48" t="n">
        <v>-5713689.171131238</v>
      </c>
      <c r="D39" s="48" t="n"/>
      <c r="E39" s="48" t="n"/>
    </row>
    <row r="42">
      <c r="A42" s="37" t="inlineStr">
        <is>
          <t>budget_vs_base</t>
        </is>
      </c>
      <c r="B42" s="69" t="inlineStr">
        <is>
          <t>Board Budget</t>
        </is>
      </c>
      <c r="C42" s="69" t="inlineStr">
        <is>
          <t>Base reforecast</t>
        </is>
      </c>
    </row>
    <row r="43">
      <c r="A43" s="19" t="inlineStr">
        <is>
          <t>Exit ARR</t>
        </is>
      </c>
      <c r="B43" s="48" t="n">
        <v>37589315.84</v>
      </c>
      <c r="C43" s="48" t="n">
        <v>34816416.56479766</v>
      </c>
    </row>
    <row r="44">
      <c r="A44" s="19" t="inlineStr">
        <is>
          <t>Revenue</t>
        </is>
      </c>
      <c r="B44" s="48" t="n">
        <v>33632627.26</v>
      </c>
      <c r="C44" s="48" t="n">
        <v>32790970.25165138</v>
      </c>
    </row>
    <row r="45">
      <c r="A45" s="19" t="inlineStr">
        <is>
          <t>Gross Profit</t>
        </is>
      </c>
      <c r="B45" s="48" t="n">
        <v>24911442.95</v>
      </c>
      <c r="C45" s="48" t="n">
        <v>25694771.97611566</v>
      </c>
    </row>
    <row r="46">
      <c r="A46" s="19" t="inlineStr">
        <is>
          <t>Total OpEx</t>
        </is>
      </c>
      <c r="B46" s="48" t="n">
        <v>30536909.83</v>
      </c>
      <c r="C46" s="48" t="n">
        <v>31408461.1472469</v>
      </c>
    </row>
    <row r="49">
      <c r="A49" s="37" t="inlineStr">
        <is>
          <t>scenario_exit_arr</t>
        </is>
      </c>
      <c r="B49" s="69" t="inlineStr">
        <is>
          <t>Dec-2026 Exit ARR</t>
        </is>
      </c>
    </row>
    <row r="50">
      <c r="A50" s="19" t="inlineStr">
        <is>
          <t>Bear</t>
        </is>
      </c>
      <c r="B50" s="48" t="n">
        <v>33553421.70294353</v>
      </c>
    </row>
    <row r="51">
      <c r="A51" s="19" t="inlineStr">
        <is>
          <t>Base</t>
        </is>
      </c>
      <c r="B51" s="48" t="n">
        <v>34816416.56479766</v>
      </c>
    </row>
    <row r="52">
      <c r="A52" s="19" t="inlineStr">
        <is>
          <t>Bull</t>
        </is>
      </c>
      <c r="B52" s="48" t="n">
        <v>36123036.63015182</v>
      </c>
    </row>
    <row r="55">
      <c r="A55" s="37" t="inlineStr">
        <is>
          <t>runway</t>
        </is>
      </c>
      <c r="B55" s="69" t="inlineStr">
        <is>
          <t>Board-policy runway</t>
        </is>
      </c>
      <c r="C55" s="69" t="inlineStr">
        <is>
          <t>24-month Board floor</t>
        </is>
      </c>
    </row>
    <row r="56">
      <c r="A56" s="19" t="inlineStr">
        <is>
          <t>Bear</t>
        </is>
      </c>
      <c r="B56" s="118" t="n">
        <v>23.53977505148305</v>
      </c>
      <c r="C56" s="118" t="n">
        <v>24</v>
      </c>
    </row>
    <row r="57">
      <c r="A57" s="19" t="inlineStr">
        <is>
          <t>Base</t>
        </is>
      </c>
      <c r="B57" s="118" t="n">
        <v>25.64705882352941</v>
      </c>
      <c r="C57" s="118" t="n">
        <v>24</v>
      </c>
    </row>
    <row r="58">
      <c r="A58" s="19" t="inlineStr">
        <is>
          <t>Bull</t>
        </is>
      </c>
      <c r="B58" s="118" t="n">
        <v>28.26329439462826</v>
      </c>
      <c r="C58" s="118" t="n">
        <v>24</v>
      </c>
    </row>
    <row r="59">
      <c r="A59" s="19" t="inlineStr">
        <is>
          <t>Full Capacity-Close</t>
        </is>
      </c>
      <c r="B59" s="118" t="n">
        <v>24.66105996243252</v>
      </c>
      <c r="C59" s="118" t="n">
        <v>24</v>
      </c>
    </row>
    <row r="62">
      <c r="A62" s="37" t="inlineStr">
        <is>
          <t>arr_movement</t>
        </is>
      </c>
      <c r="B62" s="69" t="inlineStr">
        <is>
          <t>New Logo</t>
        </is>
      </c>
      <c r="C62" s="69" t="inlineStr">
        <is>
          <t>Expansion</t>
        </is>
      </c>
      <c r="D62" s="69" t="inlineStr">
        <is>
          <t>Reactivation</t>
        </is>
      </c>
      <c r="E62" s="69" t="inlineStr">
        <is>
          <t>Contraction</t>
        </is>
      </c>
      <c r="F62" s="69" t="inlineStr">
        <is>
          <t>Churn</t>
        </is>
      </c>
    </row>
    <row r="63">
      <c r="A63" s="19" t="inlineStr">
        <is>
          <t>Jan-25</t>
        </is>
      </c>
      <c r="B63" s="48" t="n">
        <v>763989.24</v>
      </c>
      <c r="C63" s="48" t="n">
        <v>208523.88</v>
      </c>
      <c r="D63" s="48" t="n">
        <v>5379</v>
      </c>
      <c r="E63" s="48" t="n">
        <v>-356906.4</v>
      </c>
      <c r="F63" s="48" t="n">
        <v>-433404.48</v>
      </c>
    </row>
    <row r="64">
      <c r="A64" s="19" t="inlineStr">
        <is>
          <t>Feb-25</t>
        </is>
      </c>
      <c r="B64" s="48" t="n">
        <v>398202.84</v>
      </c>
      <c r="C64" s="48" t="n">
        <v>450903.12</v>
      </c>
      <c r="D64" s="48" t="n">
        <v>0</v>
      </c>
      <c r="E64" s="48" t="n">
        <v>-110046.24</v>
      </c>
      <c r="F64" s="48" t="n">
        <v>-189502.92</v>
      </c>
    </row>
    <row r="65">
      <c r="A65" s="19" t="inlineStr">
        <is>
          <t>Mar-25</t>
        </is>
      </c>
      <c r="B65" s="48" t="n">
        <v>482289.0000000001</v>
      </c>
      <c r="C65" s="48" t="n">
        <v>339030.96</v>
      </c>
      <c r="D65" s="48" t="n">
        <v>7012.2</v>
      </c>
      <c r="E65" s="48" t="n">
        <v>-120597.12</v>
      </c>
      <c r="F65" s="48" t="n">
        <v>-125741.04</v>
      </c>
    </row>
    <row r="66">
      <c r="A66" s="19" t="inlineStr">
        <is>
          <t>Apr-25</t>
        </is>
      </c>
      <c r="B66" s="48" t="n">
        <v>289522.08</v>
      </c>
      <c r="C66" s="48" t="n">
        <v>568274.88</v>
      </c>
      <c r="D66" s="48" t="n">
        <v>41077.32</v>
      </c>
      <c r="E66" s="48" t="n">
        <v>-140806.8</v>
      </c>
      <c r="F66" s="48" t="n">
        <v>-142746.84</v>
      </c>
    </row>
    <row r="67">
      <c r="A67" s="19" t="inlineStr">
        <is>
          <t>May-25</t>
        </is>
      </c>
      <c r="B67" s="48" t="n">
        <v>266066.16</v>
      </c>
      <c r="C67" s="48" t="n">
        <v>214662.36</v>
      </c>
      <c r="D67" s="48" t="n">
        <v>12462.48</v>
      </c>
      <c r="E67" s="48" t="n">
        <v>-91199.88</v>
      </c>
      <c r="F67" s="48" t="n">
        <v>-240511.2</v>
      </c>
    </row>
    <row r="68">
      <c r="A68" s="19" t="inlineStr">
        <is>
          <t>Jun-25</t>
        </is>
      </c>
      <c r="B68" s="48" t="n">
        <v>408324</v>
      </c>
      <c r="C68" s="48" t="n">
        <v>332059.5600000001</v>
      </c>
      <c r="D68" s="48" t="n">
        <v>0</v>
      </c>
      <c r="E68" s="48" t="n">
        <v>-45796.2</v>
      </c>
      <c r="F68" s="48" t="n">
        <v>-147946.44</v>
      </c>
    </row>
    <row r="69">
      <c r="A69" s="19" t="inlineStr">
        <is>
          <t>Jul-25</t>
        </is>
      </c>
      <c r="B69" s="48" t="n">
        <v>148504.68</v>
      </c>
      <c r="C69" s="48" t="n">
        <v>364045.92</v>
      </c>
      <c r="D69" s="48" t="n">
        <v>2735.28</v>
      </c>
      <c r="E69" s="48" t="n">
        <v>-97174.92</v>
      </c>
      <c r="F69" s="48" t="n">
        <v>-88185</v>
      </c>
    </row>
    <row r="70">
      <c r="A70" s="19" t="inlineStr">
        <is>
          <t>Aug-25</t>
        </is>
      </c>
      <c r="B70" s="48" t="n">
        <v>254568</v>
      </c>
      <c r="C70" s="48" t="n">
        <v>339460.6799999999</v>
      </c>
      <c r="D70" s="48" t="n">
        <v>2107.44</v>
      </c>
      <c r="E70" s="48" t="n">
        <v>-73086.12</v>
      </c>
      <c r="F70" s="48" t="n">
        <v>-197466.12</v>
      </c>
    </row>
    <row r="71">
      <c r="A71" s="19" t="inlineStr">
        <is>
          <t>Sep-25</t>
        </is>
      </c>
      <c r="B71" s="48" t="n">
        <v>265998.84</v>
      </c>
      <c r="C71" s="48" t="n">
        <v>295512.48</v>
      </c>
      <c r="D71" s="48" t="n">
        <v>0</v>
      </c>
      <c r="E71" s="48" t="n">
        <v>-46792.8</v>
      </c>
      <c r="F71" s="48" t="n">
        <v>-189627.96</v>
      </c>
    </row>
    <row r="72">
      <c r="A72" s="19" t="inlineStr">
        <is>
          <t>Oct-25</t>
        </is>
      </c>
      <c r="B72" s="48" t="n">
        <v>427038.12</v>
      </c>
      <c r="C72" s="48" t="n">
        <v>493697.64</v>
      </c>
      <c r="D72" s="48" t="n">
        <v>0</v>
      </c>
      <c r="E72" s="48" t="n">
        <v>-124445.04</v>
      </c>
      <c r="F72" s="48" t="n">
        <v>-162396</v>
      </c>
    </row>
    <row r="73">
      <c r="A73" s="19" t="inlineStr">
        <is>
          <t>Nov-25</t>
        </is>
      </c>
      <c r="B73" s="48" t="n">
        <v>771199.2</v>
      </c>
      <c r="C73" s="48" t="n">
        <v>366765</v>
      </c>
      <c r="D73" s="48" t="n">
        <v>0</v>
      </c>
      <c r="E73" s="48" t="n">
        <v>-173070.72</v>
      </c>
      <c r="F73" s="48" t="n">
        <v>-328723.8</v>
      </c>
    </row>
    <row r="74">
      <c r="A74" s="19" t="inlineStr">
        <is>
          <t>Dec-25</t>
        </is>
      </c>
      <c r="B74" s="48" t="n">
        <v>815749.3200000001</v>
      </c>
      <c r="C74" s="48" t="n">
        <v>245648.28</v>
      </c>
      <c r="D74" s="48" t="n">
        <v>37735.8</v>
      </c>
      <c r="E74" s="48" t="n">
        <v>-77452.2</v>
      </c>
      <c r="F74" s="48" t="n">
        <v>-220801.08</v>
      </c>
    </row>
    <row r="75">
      <c r="A75" s="19" t="inlineStr">
        <is>
          <t>Jan-26</t>
        </is>
      </c>
      <c r="B75" s="48" t="n">
        <v>267424.44</v>
      </c>
      <c r="C75" s="48" t="n">
        <v>361621.2000000001</v>
      </c>
      <c r="D75" s="48" t="n">
        <v>3132</v>
      </c>
      <c r="E75" s="48" t="n">
        <v>-451736.88</v>
      </c>
      <c r="F75" s="48" t="n">
        <v>-188907.24</v>
      </c>
    </row>
    <row r="76">
      <c r="A76" s="19" t="inlineStr">
        <is>
          <t>Feb-26</t>
        </is>
      </c>
      <c r="B76" s="48" t="n">
        <v>347874.72</v>
      </c>
      <c r="C76" s="48" t="n">
        <v>303632.88</v>
      </c>
      <c r="D76" s="48" t="n">
        <v>10064.52</v>
      </c>
      <c r="E76" s="48" t="n">
        <v>-150335.16</v>
      </c>
      <c r="F76" s="48" t="n">
        <v>-113861.4</v>
      </c>
    </row>
    <row r="77">
      <c r="A77" s="19" t="inlineStr">
        <is>
          <t>Mar-26</t>
        </is>
      </c>
      <c r="B77" s="48" t="n">
        <v>452642.28</v>
      </c>
      <c r="C77" s="48" t="n">
        <v>237688.44</v>
      </c>
      <c r="D77" s="48" t="n">
        <v>7982.76</v>
      </c>
      <c r="E77" s="48" t="n">
        <v>-205926.12</v>
      </c>
      <c r="F77" s="48" t="n">
        <v>-233182.92</v>
      </c>
    </row>
    <row r="78">
      <c r="A78" s="19" t="inlineStr">
        <is>
          <t>Apr-26</t>
        </is>
      </c>
      <c r="B78" s="48" t="n">
        <v>134448.48</v>
      </c>
      <c r="C78" s="48" t="n">
        <v>820157.04</v>
      </c>
      <c r="D78" s="48" t="n">
        <v>3643.2</v>
      </c>
      <c r="E78" s="48" t="n">
        <v>-61498.8</v>
      </c>
      <c r="F78" s="48" t="n">
        <v>-286825.44</v>
      </c>
    </row>
    <row r="79">
      <c r="A79" s="19" t="inlineStr">
        <is>
          <t>May-26</t>
        </is>
      </c>
      <c r="B79" s="48" t="n">
        <v>170863.2</v>
      </c>
      <c r="C79" s="48" t="n">
        <v>1119731.4</v>
      </c>
      <c r="D79" s="48" t="n">
        <v>14374.56</v>
      </c>
      <c r="E79" s="48" t="n">
        <v>-139362.12</v>
      </c>
      <c r="F79" s="48" t="n">
        <v>-119750.52</v>
      </c>
    </row>
    <row r="80">
      <c r="A80" s="19" t="inlineStr">
        <is>
          <t>Jun-26</t>
        </is>
      </c>
      <c r="B80" s="48" t="n">
        <v>650292.36</v>
      </c>
      <c r="C80" s="48" t="n">
        <v>510603.96</v>
      </c>
      <c r="D80" s="48" t="n">
        <v>20643.24</v>
      </c>
      <c r="E80" s="48" t="n">
        <v>-95907.84</v>
      </c>
      <c r="F80" s="48" t="n">
        <v>-562121.76</v>
      </c>
    </row>
    <row r="81">
      <c r="A81" s="19" t="inlineStr">
        <is>
          <t>Jul-26</t>
        </is>
      </c>
      <c r="B81" s="48" t="n">
        <v>379723.8431657766</v>
      </c>
      <c r="C81" s="48" t="n">
        <v>514111.2721585745</v>
      </c>
      <c r="D81" s="48" t="n">
        <v>8534.9</v>
      </c>
      <c r="E81" s="48" t="n">
        <v>-86848.2886515485</v>
      </c>
      <c r="F81" s="48" t="n">
        <v>-160575.3263550167</v>
      </c>
    </row>
    <row r="82">
      <c r="A82" s="19" t="inlineStr">
        <is>
          <t>Aug-26</t>
        </is>
      </c>
      <c r="B82" s="48" t="n">
        <v>78926.91212814295</v>
      </c>
      <c r="C82" s="48" t="n">
        <v>514111.2721585745</v>
      </c>
      <c r="D82" s="48" t="n">
        <v>8534.9</v>
      </c>
      <c r="E82" s="48" t="n">
        <v>-99397.34960386796</v>
      </c>
      <c r="F82" s="48" t="n">
        <v>-188223.0459561141</v>
      </c>
    </row>
    <row r="83">
      <c r="A83" s="19" t="inlineStr">
        <is>
          <t>Sep-26</t>
        </is>
      </c>
      <c r="B83" s="48" t="n">
        <v>10415.98618357488</v>
      </c>
      <c r="C83" s="48" t="n">
        <v>514111.2721585745</v>
      </c>
      <c r="D83" s="48" t="n">
        <v>8534.9</v>
      </c>
      <c r="E83" s="48" t="n">
        <v>-102725.1590022825</v>
      </c>
      <c r="F83" s="48" t="n">
        <v>-188558.2199998436</v>
      </c>
    </row>
    <row r="84">
      <c r="A84" s="19" t="inlineStr">
        <is>
          <t>Oct-26</t>
        </is>
      </c>
      <c r="B84" s="48" t="n">
        <v>11305.86657004831</v>
      </c>
      <c r="C84" s="48" t="n">
        <v>514111.2721585745</v>
      </c>
      <c r="D84" s="48" t="n">
        <v>8534.9</v>
      </c>
      <c r="E84" s="48" t="n">
        <v>-140395.9414876271</v>
      </c>
      <c r="F84" s="48" t="n">
        <v>-232938.5155039047</v>
      </c>
    </row>
    <row r="85">
      <c r="A85" s="19" t="inlineStr">
        <is>
          <t>Nov-26</t>
        </is>
      </c>
      <c r="B85" s="48" t="n">
        <v>350964.2754020019</v>
      </c>
      <c r="C85" s="48" t="n">
        <v>514111.2721585745</v>
      </c>
      <c r="D85" s="48" t="n">
        <v>8534.9</v>
      </c>
      <c r="E85" s="48" t="n">
        <v>-183611.1087706609</v>
      </c>
      <c r="F85" s="48" t="n">
        <v>-301558.8995636074</v>
      </c>
    </row>
    <row r="86">
      <c r="A86" s="19" t="inlineStr">
        <is>
          <t>Dec-26</t>
        </is>
      </c>
      <c r="B86" s="48" t="n">
        <v>351431.1501149026</v>
      </c>
      <c r="C86" s="48" t="n">
        <v>514111.2721585745</v>
      </c>
      <c r="D86" s="48" t="n">
        <v>8534.9</v>
      </c>
      <c r="E86" s="48" t="n">
        <v>-351650.5468832045</v>
      </c>
      <c r="F86" s="48" t="n">
        <v>-482466.4199405572</v>
      </c>
    </row>
    <row r="89">
      <c r="A89" s="37" t="inlineStr">
        <is>
          <t>gtm_constraint</t>
        </is>
      </c>
      <c r="B89" s="69" t="inlineStr">
        <is>
          <t>New Logo capacity</t>
        </is>
      </c>
      <c r="C89" s="69" t="inlineStr">
        <is>
          <t>Pipeline-supported</t>
        </is>
      </c>
      <c r="D89" s="69" t="inlineStr">
        <is>
          <t>Achievable New Logo ARR</t>
        </is>
      </c>
    </row>
    <row r="90">
      <c r="A90" s="19" t="inlineStr">
        <is>
          <t>SMB</t>
        </is>
      </c>
      <c r="B90" s="48" t="n">
        <v>714807.5304525261</v>
      </c>
      <c r="C90" s="48" t="n">
        <v>386188.8355911029</v>
      </c>
      <c r="D90" s="48" t="n">
        <v>366168.1092984933</v>
      </c>
    </row>
    <row r="91">
      <c r="A91" s="19" t="inlineStr">
        <is>
          <t>Mid-Market</t>
        </is>
      </c>
      <c r="B91" s="48" t="n">
        <v>1159750.851915886</v>
      </c>
      <c r="C91" s="48" t="n">
        <v>534297.9324879227</v>
      </c>
      <c r="D91" s="48" t="n">
        <v>517792.043640954</v>
      </c>
    </row>
    <row r="92">
      <c r="A92" s="19" t="inlineStr">
        <is>
          <t>Enterprise</t>
        </is>
      </c>
      <c r="B92" s="48" t="n">
        <v>1046300.399881749</v>
      </c>
      <c r="C92" s="48" t="n">
        <v>298807.880625</v>
      </c>
      <c r="D92" s="48" t="n">
        <v>298807.880625</v>
      </c>
    </row>
    <row r="95">
      <c r="A95" s="37" t="inlineStr">
        <is>
          <t>scenario_trajectory</t>
        </is>
      </c>
      <c r="B95" s="69" t="inlineStr">
        <is>
          <t>Bear</t>
        </is>
      </c>
      <c r="C95" s="69" t="inlineStr">
        <is>
          <t>Base</t>
        </is>
      </c>
      <c r="D95" s="69" t="inlineStr">
        <is>
          <t>Bull</t>
        </is>
      </c>
    </row>
    <row r="96">
      <c r="A96" s="19" t="inlineStr">
        <is>
          <t>Jan-26</t>
        </is>
      </c>
      <c r="B96" s="48" t="n">
        <v>30180849.36</v>
      </c>
      <c r="C96" s="48" t="n">
        <v>30180849.36</v>
      </c>
      <c r="D96" s="48" t="n">
        <v>30180849.36</v>
      </c>
    </row>
    <row r="97">
      <c r="A97" s="19" t="inlineStr">
        <is>
          <t>Feb-26</t>
        </is>
      </c>
      <c r="B97" s="48" t="n">
        <v>30578224.92</v>
      </c>
      <c r="C97" s="48" t="n">
        <v>30578224.92</v>
      </c>
      <c r="D97" s="48" t="n">
        <v>30578224.92</v>
      </c>
    </row>
    <row r="98">
      <c r="A98" s="19" t="inlineStr">
        <is>
          <t>Mar-26</t>
        </is>
      </c>
      <c r="B98" s="48" t="n">
        <v>30837429.36</v>
      </c>
      <c r="C98" s="48" t="n">
        <v>30837429.36</v>
      </c>
      <c r="D98" s="48" t="n">
        <v>30837429.36</v>
      </c>
    </row>
    <row r="99">
      <c r="A99" s="19" t="inlineStr">
        <is>
          <t>Apr-26</t>
        </is>
      </c>
      <c r="B99" s="48" t="n">
        <v>31447353.84</v>
      </c>
      <c r="C99" s="48" t="n">
        <v>31447353.84</v>
      </c>
      <c r="D99" s="48" t="n">
        <v>31447353.84</v>
      </c>
    </row>
    <row r="100">
      <c r="A100" s="19" t="inlineStr">
        <is>
          <t>May-26</t>
        </is>
      </c>
      <c r="B100" s="48" t="n">
        <v>32493210.36</v>
      </c>
      <c r="C100" s="48" t="n">
        <v>32493210.36</v>
      </c>
      <c r="D100" s="48" t="n">
        <v>32493210.36</v>
      </c>
    </row>
    <row r="101">
      <c r="A101" s="19" t="inlineStr">
        <is>
          <t>Jun-26</t>
        </is>
      </c>
      <c r="B101" s="48" t="n">
        <v>33016720.32</v>
      </c>
      <c r="C101" s="48" t="n">
        <v>33016720.32</v>
      </c>
      <c r="D101" s="48" t="n">
        <v>33016720.32</v>
      </c>
    </row>
    <row r="102">
      <c r="A102" s="19" t="inlineStr">
        <is>
          <t>Jul-26</t>
        </is>
      </c>
      <c r="B102" s="48" t="n">
        <v>33488106.73001782</v>
      </c>
      <c r="C102" s="48" t="n">
        <v>33671666.72031779</v>
      </c>
      <c r="D102" s="48" t="n">
        <v>33868561.09347535</v>
      </c>
    </row>
    <row r="103">
      <c r="A103" s="19" t="inlineStr">
        <is>
          <t>Aug-26</t>
        </is>
      </c>
      <c r="B103" s="48" t="n">
        <v>33655579.61198955</v>
      </c>
      <c r="C103" s="48" t="n">
        <v>33985619.40904452</v>
      </c>
      <c r="D103" s="48" t="n">
        <v>34340318.13278702</v>
      </c>
    </row>
    <row r="104">
      <c r="A104" s="19" t="inlineStr">
        <is>
          <t>Sep-26</t>
        </is>
      </c>
      <c r="B104" s="48" t="n">
        <v>33760422.62677783</v>
      </c>
      <c r="C104" s="48" t="n">
        <v>34227398.18838455</v>
      </c>
      <c r="D104" s="48" t="n">
        <v>34730174.07133661</v>
      </c>
    </row>
    <row r="105">
      <c r="A105" s="19" t="inlineStr">
        <is>
          <t>Oct-26</t>
        </is>
      </c>
      <c r="B105" s="48" t="n">
        <v>33767560.74630732</v>
      </c>
      <c r="C105" s="48" t="n">
        <v>34388015.77012163</v>
      </c>
      <c r="D105" s="48" t="n">
        <v>35051309.95603966</v>
      </c>
    </row>
    <row r="106">
      <c r="A106" s="19" t="inlineStr">
        <is>
          <t>Nov-26</t>
        </is>
      </c>
      <c r="B106" s="48" t="n">
        <v>33869859.39971912</v>
      </c>
      <c r="C106" s="48" t="n">
        <v>34776456.20934794</v>
      </c>
      <c r="D106" s="48" t="n">
        <v>35733548.15358581</v>
      </c>
    </row>
    <row r="107">
      <c r="A107" s="19" t="inlineStr">
        <is>
          <t>Dec-26</t>
        </is>
      </c>
      <c r="B107" s="48" t="n">
        <v>33553421.70294353</v>
      </c>
      <c r="C107" s="48" t="n">
        <v>34816416.56479766</v>
      </c>
      <c r="D107" s="48" t="n">
        <v>36123036.63015182</v>
      </c>
    </row>
    <row r="108">
      <c r="A108" s="19" t="inlineStr">
        <is>
          <t>Jan-27</t>
        </is>
      </c>
      <c r="B108" s="48" t="n">
        <v>33386344.05273684</v>
      </c>
      <c r="C108" s="48" t="n">
        <v>34980843.62572146</v>
      </c>
      <c r="D108" s="48" t="n">
        <v>36615401.63381295</v>
      </c>
    </row>
    <row r="109">
      <c r="A109" s="19" t="inlineStr">
        <is>
          <t>Feb-27</t>
        </is>
      </c>
      <c r="B109" s="48" t="n">
        <v>33589004.78972933</v>
      </c>
      <c r="C109" s="48" t="n">
        <v>35451255.83912663</v>
      </c>
      <c r="D109" s="48" t="n">
        <v>37366816.85076962</v>
      </c>
    </row>
    <row r="110">
      <c r="A110" s="19" t="inlineStr">
        <is>
          <t>Mar-27</t>
        </is>
      </c>
      <c r="B110" s="48" t="n">
        <v>33480771.93309422</v>
      </c>
      <c r="C110" s="48" t="n">
        <v>35660175.06436726</v>
      </c>
      <c r="D110" s="48" t="n">
        <v>37895238.52974396</v>
      </c>
    </row>
    <row r="111">
      <c r="A111" s="19" t="inlineStr">
        <is>
          <t>Apr-27</t>
        </is>
      </c>
      <c r="B111" s="48" t="n">
        <v>33790832.73385861</v>
      </c>
      <c r="C111" s="48" t="n">
        <v>36215317.18726552</v>
      </c>
      <c r="D111" s="48" t="n">
        <v>38717243.12667473</v>
      </c>
    </row>
    <row r="112">
      <c r="A112" s="19" t="inlineStr">
        <is>
          <t>May-27</t>
        </is>
      </c>
      <c r="B112" s="48" t="n">
        <v>34174814.8464488</v>
      </c>
      <c r="C112" s="48" t="n">
        <v>36829763.61356527</v>
      </c>
      <c r="D112" s="48" t="n">
        <v>39588967.34456073</v>
      </c>
    </row>
    <row r="113">
      <c r="A113" s="19" t="inlineStr">
        <is>
          <t>Jun-27</t>
        </is>
      </c>
      <c r="B113" s="48" t="n">
        <v>34218830.66966811</v>
      </c>
      <c r="C113" s="48" t="n">
        <v>37158664.92315979</v>
      </c>
      <c r="D113" s="48" t="n">
        <v>40217306.25057846</v>
      </c>
    </row>
    <row r="114">
      <c r="A114" s="19" t="inlineStr">
        <is>
          <t>Jul-27</t>
        </is>
      </c>
      <c r="B114" s="48" t="n">
        <v>34766211.1317759</v>
      </c>
      <c r="C114" s="48" t="n">
        <v>37904852.39349368</v>
      </c>
      <c r="D114" s="48" t="n">
        <v>41199683.08172434</v>
      </c>
    </row>
    <row r="115">
      <c r="A115" s="19" t="inlineStr">
        <is>
          <t>Aug-27</t>
        </is>
      </c>
      <c r="B115" s="48" t="n">
        <v>35344012.74152716</v>
      </c>
      <c r="C115" s="48" t="n">
        <v>38674260.57704344</v>
      </c>
      <c r="D115" s="48" t="n">
        <v>42201158.4461576</v>
      </c>
    </row>
    <row r="116">
      <c r="A116" s="19" t="inlineStr">
        <is>
          <t>Sep-27</t>
        </is>
      </c>
      <c r="B116" s="48" t="n">
        <v>35802902.17568776</v>
      </c>
      <c r="C116" s="48" t="n">
        <v>39342497.82499545</v>
      </c>
      <c r="D116" s="48" t="n">
        <v>43116015.2785511</v>
      </c>
    </row>
    <row r="117">
      <c r="A117" s="19" t="inlineStr">
        <is>
          <t>Oct-27</t>
        </is>
      </c>
      <c r="B117" s="48" t="n">
        <v>36366787.99932843</v>
      </c>
      <c r="C117" s="48" t="n">
        <v>40096206.0873948</v>
      </c>
      <c r="D117" s="48" t="n">
        <v>44102914.68018904</v>
      </c>
    </row>
    <row r="118">
      <c r="A118" s="19" t="inlineStr">
        <is>
          <t>Nov-27</t>
        </is>
      </c>
      <c r="B118" s="48" t="n">
        <v>36942875.60658511</v>
      </c>
      <c r="C118" s="48" t="n">
        <v>40858106.72952597</v>
      </c>
      <c r="D118" s="48" t="n">
        <v>45092786.51501171</v>
      </c>
    </row>
    <row r="119">
      <c r="A119" s="19" t="inlineStr">
        <is>
          <t>Dec-27</t>
        </is>
      </c>
      <c r="B119" s="48" t="n">
        <v>37456821.81146927</v>
      </c>
      <c r="C119" s="48" t="n">
        <v>41566296.05586515</v>
      </c>
      <c r="D119" s="48" t="n">
        <v>46032954.52691905</v>
      </c>
    </row>
    <row r="122">
      <c r="A122" s="37" t="inlineStr">
        <is>
          <t>hiring</t>
        </is>
      </c>
      <c r="B122" s="69" t="inlineStr">
        <is>
          <t>Incremental Dec-2027 ARR</t>
        </is>
      </c>
      <c r="C122" s="69" t="inlineStr">
        <is>
          <t>Incremental cash consumed</t>
        </is>
      </c>
    </row>
    <row r="123">
      <c r="A123" s="19" t="inlineStr">
        <is>
          <t>No incremental</t>
        </is>
      </c>
      <c r="B123" s="48" t="n">
        <v>0</v>
      </c>
      <c r="C123" s="48" t="n">
        <v>-0</v>
      </c>
    </row>
    <row r="124">
      <c r="A124" s="19" t="inlineStr">
        <is>
          <t>Targeted</t>
        </is>
      </c>
      <c r="B124" s="48" t="n">
        <v>0</v>
      </c>
      <c r="C124" s="48" t="n">
        <v>-0</v>
      </c>
    </row>
    <row r="125">
      <c r="A125" s="19" t="inlineStr">
        <is>
          <t>Full Capacity-Close</t>
        </is>
      </c>
      <c r="B125" s="48" t="n">
        <v>147322.040569365</v>
      </c>
      <c r="C125" s="48" t="n">
        <v>-637083.1113751382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2026-08-27T05:16:43Z</dcterms:created>
  <dcterms:modified xsi:type="dcterms:W3CDTF">2026-08-27T05:16:43Z</dcterms:modified>
</cp:coreProperties>
</file>