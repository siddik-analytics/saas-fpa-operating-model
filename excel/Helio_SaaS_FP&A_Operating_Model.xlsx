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drawings/drawing6.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8.xml" ContentType="application/vnd.openxmlformats-officedocument.drawing+xml"/>
  <Override PartName="/xl/charts/chart17.xml" ContentType="application/vnd.openxmlformats-officedocument.drawingml.chart+xml"/>
  <Override PartName="/xl/drawings/drawing9.xml" ContentType="application/vnd.openxmlformats-officedocument.drawing+xml"/>
  <Override PartName="/xl/charts/chart18.xml" ContentType="application/vnd.openxmlformats-officedocument.drawingml.chart+xml"/>
  <Override PartName="/xl/drawings/drawing10.xml" ContentType="application/vnd.openxmlformats-officedocument.drawing+xml"/>
  <Override PartName="/xl/charts/chart19.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8_{7E5427FE-57E0-4C59-9CF2-2F145761D75F}" xr6:coauthVersionLast="47" xr6:coauthVersionMax="47" xr10:uidLastSave="{00000000-0000-0000-0000-000000000000}"/>
  <bookViews>
    <workbookView xWindow="-110" yWindow="-110" windowWidth="19420" windowHeight="11500" firstSheet="1" activeTab="1" xr2:uid="{00000000-000D-0000-FFFF-FFFF00000000}"/>
  </bookViews>
  <sheets>
    <sheet name="Data_Forecast" sheetId="23" state="hidden" r:id="rId1"/>
    <sheet name="Model Guide" sheetId="22" r:id="rId2"/>
    <sheet name="Executive Summary" sheetId="1" r:id="rId3"/>
    <sheet name="ARR &amp; Retention" sheetId="2" r:id="rId4"/>
    <sheet name="Scenarios" sheetId="7" r:id="rId5"/>
    <sheet name="Cash Flow" sheetId="25" r:id="rId6"/>
    <sheet name="Budget Bridge" sheetId="6" r:id="rId7"/>
    <sheet name="GTM" sheetId="3" r:id="rId8"/>
    <sheet name="Runway &amp; Hiring" sheetId="8" r:id="rId9"/>
    <sheet name="Forecast" sheetId="4" r:id="rId10"/>
    <sheet name="P&amp;L" sheetId="5" r:id="rId11"/>
    <sheet name="Assumptions" sheetId="10" r:id="rId12"/>
    <sheet name="Forecast Drivers" sheetId="24" r:id="rId13"/>
    <sheet name="Accounting" sheetId="9" r:id="rId14"/>
    <sheet name="Controls" sheetId="11" r:id="rId15"/>
    <sheet name="Data_ARR" sheetId="12" state="hidden" r:id="rId16"/>
    <sheet name="Data_Retention" sheetId="13" state="hidden" r:id="rId17"/>
    <sheet name="Data_GTM" sheetId="14" state="hidden" r:id="rId18"/>
    <sheet name="Data_PnL" sheetId="15" state="hidden" r:id="rId19"/>
    <sheet name="Data_Bridge" sheetId="16" state="hidden" r:id="rId20"/>
    <sheet name="Data_Scenario" sheetId="17" state="hidden" r:id="rId21"/>
    <sheet name="Data_Runway" sheetId="18" state="hidden" r:id="rId22"/>
    <sheet name="Data_Accounting" sheetId="19" state="hidden" r:id="rId23"/>
    <sheet name="Data_Commentary" sheetId="20" state="hidden" r:id="rId24"/>
    <sheet name="Chart_Data" sheetId="21" state="hidden" r:id="rId25"/>
  </sheets>
  <definedNames>
    <definedName name="_xlnm.Print_Area" localSheetId="13">Accounting!$B$1:$I$93</definedName>
    <definedName name="_xlnm.Print_Area" localSheetId="3">'ARR &amp; Retention'!$B$1:$J$127</definedName>
    <definedName name="_xlnm.Print_Area" localSheetId="11">Assumptions!$B$1:$F$44</definedName>
    <definedName name="_xlnm.Print_Area" localSheetId="6">'Budget Bridge'!$B$1:$H$204</definedName>
    <definedName name="_xlnm.Print_Area" localSheetId="5">'Cash Flow'!$B$1:$J$96</definedName>
    <definedName name="_xlnm.Print_Area" localSheetId="14">Controls!$B$1:$F$59</definedName>
    <definedName name="_xlnm.Print_Area" localSheetId="2">'Executive Summary'!$B$1:$K$60</definedName>
    <definedName name="_xlnm.Print_Area" localSheetId="9">Forecast!$B$1:$O$41</definedName>
    <definedName name="_xlnm.Print_Area" localSheetId="12">'Forecast Drivers'!$B$1:$J$106</definedName>
    <definedName name="_xlnm.Print_Area" localSheetId="7">GTM!$B$1:$G$104</definedName>
    <definedName name="_xlnm.Print_Area" localSheetId="1">'Model Guide'!$B$1:$G$48</definedName>
    <definedName name="_xlnm.Print_Area" localSheetId="10">'P&amp;L'!$B$1:$J$62</definedName>
    <definedName name="_xlnm.Print_Area" localSheetId="8">'Runway &amp; Hiring'!$B$1:$G$58</definedName>
    <definedName name="_xlnm.Print_Area" localSheetId="4">Scenarios!$B$1:$E$56</definedName>
    <definedName name="_xlnm.Print_Titles" localSheetId="13">Accounting!$1:$6</definedName>
    <definedName name="_xlnm.Print_Titles" localSheetId="3">'ARR &amp; Retention'!$1:$6</definedName>
    <definedName name="_xlnm.Print_Titles" localSheetId="11">Assumptions!$1:$6</definedName>
    <definedName name="_xlnm.Print_Titles" localSheetId="6">'Budget Bridge'!$1:$6</definedName>
    <definedName name="_xlnm.Print_Titles" localSheetId="5">'Cash Flow'!$1:$8</definedName>
    <definedName name="_xlnm.Print_Titles" localSheetId="14">Controls!$1:$6</definedName>
    <definedName name="_xlnm.Print_Titles" localSheetId="2">'Executive Summary'!$1:$6</definedName>
    <definedName name="_xlnm.Print_Titles" localSheetId="9">Forecast!$1:$6</definedName>
    <definedName name="_xlnm.Print_Titles" localSheetId="12">'Forecast Drivers'!$1:$6</definedName>
    <definedName name="_xlnm.Print_Titles" localSheetId="7">GTM!$1:$6</definedName>
    <definedName name="_xlnm.Print_Titles" localSheetId="10">'P&amp;L'!$1:$6</definedName>
    <definedName name="_xlnm.Print_Titles" localSheetId="8">'Runway &amp; Hiring'!$1:$6</definedName>
    <definedName name="_xlnm.Print_Titles" localSheetId="4">Scenarios!$1:$6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0" i="3" l="1"/>
  <c r="F49" i="3"/>
  <c r="A225" i="21"/>
  <c r="A224" i="21"/>
  <c r="A223" i="21"/>
  <c r="A222" i="21"/>
  <c r="A221" i="21"/>
  <c r="A205" i="21"/>
  <c r="A204" i="21"/>
  <c r="A203" i="21"/>
  <c r="A202" i="21"/>
  <c r="A201" i="21"/>
  <c r="A200" i="21"/>
  <c r="A199" i="21"/>
  <c r="A198" i="21"/>
  <c r="A197" i="21"/>
  <c r="A194" i="21"/>
  <c r="A193" i="21"/>
  <c r="A192" i="21"/>
  <c r="A191" i="21"/>
  <c r="A190" i="21"/>
  <c r="A189" i="21"/>
  <c r="A188" i="21"/>
  <c r="A187" i="21"/>
  <c r="A186" i="21"/>
  <c r="A185" i="21"/>
  <c r="A184" i="21"/>
  <c r="A183" i="21"/>
  <c r="A182" i="21"/>
  <c r="A181" i="21"/>
  <c r="A180" i="21"/>
  <c r="A179" i="21"/>
  <c r="A178" i="21"/>
  <c r="A177" i="21"/>
  <c r="A176" i="21"/>
  <c r="C205" i="21"/>
  <c r="B205" i="21"/>
  <c r="C204" i="21"/>
  <c r="B204" i="21"/>
  <c r="C203" i="21"/>
  <c r="B203" i="21"/>
  <c r="C202" i="21"/>
  <c r="B202" i="21"/>
  <c r="C201" i="21"/>
  <c r="B201" i="21"/>
  <c r="C200" i="21"/>
  <c r="B200" i="21"/>
  <c r="C199" i="21"/>
  <c r="B199" i="21"/>
  <c r="C198" i="21"/>
  <c r="B198" i="21"/>
  <c r="C197" i="21"/>
  <c r="B197" i="21"/>
  <c r="C194" i="21"/>
  <c r="B194" i="21"/>
  <c r="C193" i="21"/>
  <c r="B193" i="21"/>
  <c r="C192" i="21"/>
  <c r="B192" i="21"/>
  <c r="C191" i="21"/>
  <c r="B191" i="21"/>
  <c r="C190" i="21"/>
  <c r="B190" i="21"/>
  <c r="C189" i="21"/>
  <c r="B189" i="21"/>
  <c r="C188" i="21"/>
  <c r="B188" i="21"/>
  <c r="C187" i="21"/>
  <c r="B187" i="21"/>
  <c r="C186" i="21"/>
  <c r="B186" i="21"/>
  <c r="C185" i="21"/>
  <c r="B185" i="21"/>
  <c r="C184" i="21"/>
  <c r="B184" i="21"/>
  <c r="C183" i="21"/>
  <c r="B183" i="21"/>
  <c r="C182" i="21"/>
  <c r="B182" i="21"/>
  <c r="C181" i="21"/>
  <c r="B181" i="21"/>
  <c r="C180" i="21"/>
  <c r="B180" i="21"/>
  <c r="C179" i="21"/>
  <c r="B179" i="21"/>
  <c r="C178" i="21"/>
  <c r="B178" i="21"/>
  <c r="C177" i="21"/>
  <c r="B177" i="21"/>
  <c r="C176" i="21"/>
  <c r="B176" i="21"/>
  <c r="F80" i="21"/>
  <c r="E80" i="21"/>
  <c r="D80" i="21"/>
  <c r="C80" i="21"/>
  <c r="B80" i="21"/>
  <c r="F79" i="21"/>
  <c r="E79" i="21"/>
  <c r="D79" i="21"/>
  <c r="C79" i="21"/>
  <c r="B79" i="21"/>
  <c r="F78" i="21"/>
  <c r="E78" i="21"/>
  <c r="D78" i="21"/>
  <c r="C78" i="21"/>
  <c r="B78" i="21"/>
  <c r="F77" i="21"/>
  <c r="E77" i="21"/>
  <c r="D77" i="21"/>
  <c r="C77" i="21"/>
  <c r="B77" i="21"/>
  <c r="F76" i="21"/>
  <c r="E76" i="21"/>
  <c r="D76" i="21"/>
  <c r="C76" i="21"/>
  <c r="B76" i="21"/>
  <c r="F75" i="21"/>
  <c r="E75" i="21"/>
  <c r="D75" i="21"/>
  <c r="C75" i="21"/>
  <c r="B75" i="21"/>
  <c r="F74" i="21"/>
  <c r="E74" i="21"/>
  <c r="D74" i="21"/>
  <c r="C74" i="21"/>
  <c r="B74" i="21"/>
  <c r="F73" i="21"/>
  <c r="E73" i="21"/>
  <c r="D73" i="21"/>
  <c r="C73" i="21"/>
  <c r="B73" i="21"/>
  <c r="F72" i="21"/>
  <c r="E72" i="21"/>
  <c r="D72" i="21"/>
  <c r="C72" i="21"/>
  <c r="B72" i="21"/>
  <c r="F71" i="21"/>
  <c r="E71" i="21"/>
  <c r="D71" i="21"/>
  <c r="C71" i="21"/>
  <c r="B71" i="21"/>
  <c r="F70" i="21"/>
  <c r="E70" i="21"/>
  <c r="D70" i="21"/>
  <c r="C70" i="21"/>
  <c r="B70" i="21"/>
  <c r="F69" i="21"/>
  <c r="E69" i="21"/>
  <c r="D69" i="21"/>
  <c r="C69" i="21"/>
  <c r="B69" i="21"/>
  <c r="F68" i="21"/>
  <c r="E68" i="21"/>
  <c r="D68" i="21"/>
  <c r="C68" i="21"/>
  <c r="B68" i="21"/>
  <c r="F67" i="21"/>
  <c r="E67" i="21"/>
  <c r="D67" i="21"/>
  <c r="C67" i="21"/>
  <c r="B67" i="21"/>
  <c r="F66" i="21"/>
  <c r="E66" i="21"/>
  <c r="D66" i="21"/>
  <c r="C66" i="21"/>
  <c r="B66" i="21"/>
  <c r="F65" i="21"/>
  <c r="E65" i="21"/>
  <c r="D65" i="21"/>
  <c r="C65" i="21"/>
  <c r="B65" i="21"/>
  <c r="F64" i="21"/>
  <c r="E64" i="21"/>
  <c r="D64" i="21"/>
  <c r="C64" i="21"/>
  <c r="B64" i="21"/>
  <c r="F63" i="21"/>
  <c r="E63" i="21"/>
  <c r="D63" i="21"/>
  <c r="C63" i="21"/>
  <c r="B63" i="21"/>
  <c r="B31" i="1"/>
  <c r="K50" i="1"/>
  <c r="H51" i="1"/>
  <c r="H50" i="1"/>
  <c r="G50" i="1"/>
  <c r="E51" i="1"/>
  <c r="E50" i="1"/>
  <c r="D50" i="1"/>
  <c r="B51" i="1"/>
  <c r="B50" i="1"/>
  <c r="D45" i="1"/>
  <c r="D44" i="1"/>
  <c r="J11" i="1"/>
  <c r="J12" i="1"/>
  <c r="J10" i="1"/>
  <c r="H12" i="1"/>
  <c r="F11" i="1"/>
  <c r="D11" i="1"/>
  <c r="B11" i="1"/>
  <c r="I7" i="1"/>
  <c r="E172" i="21"/>
  <c r="D172" i="21"/>
  <c r="C172" i="21"/>
  <c r="E171" i="21"/>
  <c r="D171" i="21"/>
  <c r="C171" i="21"/>
  <c r="E170" i="21"/>
  <c r="D170" i="21"/>
  <c r="C170" i="21"/>
  <c r="E169" i="21"/>
  <c r="D169" i="21"/>
  <c r="C169" i="21"/>
  <c r="E168" i="21"/>
  <c r="D168" i="21"/>
  <c r="C168" i="21"/>
  <c r="E167" i="21"/>
  <c r="D167" i="21"/>
  <c r="C167" i="21"/>
  <c r="E166" i="21"/>
  <c r="D166" i="21"/>
  <c r="C166" i="21"/>
  <c r="E165" i="21"/>
  <c r="D165" i="21"/>
  <c r="C165" i="21"/>
  <c r="E164" i="21"/>
  <c r="D164" i="21"/>
  <c r="C164" i="21"/>
  <c r="E163" i="21"/>
  <c r="D163" i="21"/>
  <c r="C163" i="21"/>
  <c r="E162" i="21"/>
  <c r="D162" i="21"/>
  <c r="C162" i="21"/>
  <c r="E161" i="21"/>
  <c r="D161" i="21"/>
  <c r="C161" i="21"/>
  <c r="F160" i="21"/>
  <c r="E160" i="21"/>
  <c r="D160" i="21"/>
  <c r="C160" i="21"/>
  <c r="E159" i="21"/>
  <c r="D159" i="21"/>
  <c r="C159" i="21"/>
  <c r="E158" i="21"/>
  <c r="D158" i="21"/>
  <c r="C158" i="21"/>
  <c r="E157" i="21"/>
  <c r="D157" i="21"/>
  <c r="C157" i="21"/>
  <c r="E156" i="21"/>
  <c r="D156" i="21"/>
  <c r="C156" i="21"/>
  <c r="E155" i="21"/>
  <c r="D155" i="21"/>
  <c r="C155" i="21"/>
  <c r="E154" i="21"/>
  <c r="D154" i="21"/>
  <c r="C154" i="21"/>
  <c r="B154" i="21"/>
  <c r="B153" i="21"/>
  <c r="B152" i="21"/>
  <c r="B151" i="21"/>
  <c r="B150" i="21"/>
  <c r="B149" i="21"/>
  <c r="B148" i="21"/>
  <c r="B147" i="21"/>
  <c r="B146" i="21"/>
  <c r="B145" i="21"/>
  <c r="B144" i="21"/>
  <c r="B143" i="21"/>
  <c r="B142" i="21"/>
  <c r="B141" i="21"/>
  <c r="B140" i="21"/>
  <c r="B139" i="21"/>
  <c r="B138" i="21"/>
  <c r="B137" i="21"/>
  <c r="E27" i="25"/>
  <c r="E26" i="25"/>
  <c r="B27" i="25"/>
  <c r="B26" i="25"/>
  <c r="H20" i="6"/>
  <c r="E20" i="6"/>
  <c r="D20" i="6"/>
  <c r="H19" i="6"/>
  <c r="E19" i="6"/>
  <c r="D19" i="6"/>
  <c r="G19" i="6" s="1"/>
  <c r="H18" i="6"/>
  <c r="E18" i="6"/>
  <c r="D18" i="6"/>
  <c r="H17" i="6"/>
  <c r="E17" i="6"/>
  <c r="D17" i="6"/>
  <c r="H16" i="6"/>
  <c r="E16" i="6"/>
  <c r="D16" i="6"/>
  <c r="H15" i="6"/>
  <c r="E15" i="6"/>
  <c r="D15" i="6"/>
  <c r="H14" i="6"/>
  <c r="E14" i="6"/>
  <c r="D14" i="6"/>
  <c r="H13" i="6"/>
  <c r="E13" i="6"/>
  <c r="D13" i="6"/>
  <c r="D59" i="21"/>
  <c r="D58" i="21"/>
  <c r="D57" i="21"/>
  <c r="D56" i="21"/>
  <c r="I49" i="24"/>
  <c r="H49" i="24"/>
  <c r="G49" i="24"/>
  <c r="F49" i="24"/>
  <c r="E49" i="24"/>
  <c r="D49" i="24"/>
  <c r="E85" i="25"/>
  <c r="D85" i="25"/>
  <c r="I50" i="25"/>
  <c r="I77" i="25" s="1"/>
  <c r="H50" i="25"/>
  <c r="H77" i="25" s="1"/>
  <c r="G50" i="25"/>
  <c r="G77" i="25" s="1"/>
  <c r="F50" i="25"/>
  <c r="F77" i="25" s="1"/>
  <c r="E50" i="25"/>
  <c r="E77" i="25" s="1"/>
  <c r="D50" i="25"/>
  <c r="I49" i="25"/>
  <c r="H49" i="25"/>
  <c r="G49" i="25"/>
  <c r="F49" i="25"/>
  <c r="E49" i="25"/>
  <c r="D49" i="25"/>
  <c r="I48" i="25"/>
  <c r="H48" i="25"/>
  <c r="G48" i="25"/>
  <c r="F48" i="25"/>
  <c r="E48" i="25"/>
  <c r="D48" i="25"/>
  <c r="D47" i="25"/>
  <c r="H27" i="25" s="1"/>
  <c r="I38" i="25"/>
  <c r="H38" i="25"/>
  <c r="G38" i="25"/>
  <c r="F38" i="25"/>
  <c r="E38" i="25"/>
  <c r="D38" i="25"/>
  <c r="I35" i="25"/>
  <c r="H35" i="25"/>
  <c r="G35" i="25"/>
  <c r="F35" i="25"/>
  <c r="E35" i="25"/>
  <c r="D35" i="25"/>
  <c r="D102" i="24"/>
  <c r="E102" i="24" s="1"/>
  <c r="D94" i="24"/>
  <c r="D90" i="24"/>
  <c r="I79" i="24"/>
  <c r="D86" i="21" s="1"/>
  <c r="H79" i="24"/>
  <c r="D85" i="21" s="1"/>
  <c r="G79" i="24"/>
  <c r="D84" i="21" s="1"/>
  <c r="F79" i="24"/>
  <c r="D83" i="21" s="1"/>
  <c r="E79" i="24"/>
  <c r="D82" i="21" s="1"/>
  <c r="D79" i="24"/>
  <c r="D81" i="21" s="1"/>
  <c r="D42" i="24"/>
  <c r="D41" i="24"/>
  <c r="D40" i="24"/>
  <c r="E33" i="24"/>
  <c r="D33" i="24"/>
  <c r="E32" i="24"/>
  <c r="D32" i="24"/>
  <c r="E31" i="24"/>
  <c r="D31" i="24"/>
  <c r="E30" i="24"/>
  <c r="D30" i="24"/>
  <c r="E29" i="24"/>
  <c r="D29" i="24"/>
  <c r="E28" i="24"/>
  <c r="D28" i="24"/>
  <c r="E27" i="24"/>
  <c r="D27" i="24"/>
  <c r="E26" i="24"/>
  <c r="D26" i="24"/>
  <c r="E25" i="24"/>
  <c r="D25" i="24"/>
  <c r="E24" i="24"/>
  <c r="D24" i="24"/>
  <c r="E23" i="24"/>
  <c r="D23" i="24"/>
  <c r="E22" i="24"/>
  <c r="D22" i="24"/>
  <c r="E21" i="24"/>
  <c r="D21" i="24"/>
  <c r="E20" i="24"/>
  <c r="D20" i="24"/>
  <c r="E19" i="24"/>
  <c r="D19" i="24"/>
  <c r="E18" i="24"/>
  <c r="D18" i="24"/>
  <c r="E17" i="24"/>
  <c r="D17" i="24"/>
  <c r="E16" i="24"/>
  <c r="D16" i="24"/>
  <c r="B12" i="22"/>
  <c r="D54" i="11"/>
  <c r="C54" i="11"/>
  <c r="B54" i="11"/>
  <c r="D53" i="11"/>
  <c r="C53" i="11"/>
  <c r="B53" i="11"/>
  <c r="D52" i="11"/>
  <c r="C52" i="11"/>
  <c r="B52" i="11"/>
  <c r="D51" i="11"/>
  <c r="C51" i="11"/>
  <c r="B51" i="11"/>
  <c r="D50" i="11"/>
  <c r="C50" i="11"/>
  <c r="B50" i="11"/>
  <c r="D49" i="11"/>
  <c r="C49" i="11"/>
  <c r="B49" i="11"/>
  <c r="D48" i="11"/>
  <c r="C48" i="11"/>
  <c r="B48" i="11"/>
  <c r="D47" i="11"/>
  <c r="C47" i="11"/>
  <c r="B47" i="11"/>
  <c r="D46" i="11"/>
  <c r="C46" i="11"/>
  <c r="B46" i="11"/>
  <c r="B11" i="11"/>
  <c r="B8" i="11"/>
  <c r="G73" i="9"/>
  <c r="F73" i="9"/>
  <c r="E73" i="9"/>
  <c r="D73" i="9"/>
  <c r="C73" i="9"/>
  <c r="G72" i="9"/>
  <c r="F72" i="9"/>
  <c r="E72" i="9"/>
  <c r="D72" i="9"/>
  <c r="C72" i="9"/>
  <c r="G71" i="9"/>
  <c r="F71" i="9"/>
  <c r="E71" i="9"/>
  <c r="D71" i="9"/>
  <c r="C71" i="9"/>
  <c r="G70" i="9"/>
  <c r="F70" i="9"/>
  <c r="E70" i="9"/>
  <c r="D70" i="9"/>
  <c r="C70" i="9"/>
  <c r="G69" i="9"/>
  <c r="F69" i="9"/>
  <c r="E69" i="9"/>
  <c r="D69" i="9"/>
  <c r="C69" i="9"/>
  <c r="G68" i="9"/>
  <c r="F68" i="9"/>
  <c r="E68" i="9"/>
  <c r="D68" i="9"/>
  <c r="C68" i="9"/>
  <c r="G67" i="9"/>
  <c r="F67" i="9"/>
  <c r="E67" i="9"/>
  <c r="D67" i="9"/>
  <c r="C67" i="9"/>
  <c r="G66" i="9"/>
  <c r="F66" i="9"/>
  <c r="E66" i="9"/>
  <c r="D66" i="9"/>
  <c r="C66" i="9"/>
  <c r="I55" i="9"/>
  <c r="I54" i="9"/>
  <c r="I53" i="9"/>
  <c r="I52" i="9"/>
  <c r="I51" i="9"/>
  <c r="I50" i="9"/>
  <c r="I49" i="9"/>
  <c r="I48" i="9"/>
  <c r="I47" i="9"/>
  <c r="I46" i="9"/>
  <c r="E20" i="9"/>
  <c r="D20" i="9"/>
  <c r="C20" i="9"/>
  <c r="E19" i="9"/>
  <c r="D19" i="9"/>
  <c r="C19" i="9"/>
  <c r="E18" i="9"/>
  <c r="D18" i="9"/>
  <c r="C18" i="9"/>
  <c r="E17" i="9"/>
  <c r="D17" i="9"/>
  <c r="C17" i="9"/>
  <c r="E16" i="9"/>
  <c r="D16" i="9"/>
  <c r="C16" i="9"/>
  <c r="E15" i="9"/>
  <c r="D15" i="9"/>
  <c r="C15" i="9"/>
  <c r="E14" i="9"/>
  <c r="D14" i="9"/>
  <c r="C14" i="9"/>
  <c r="E13" i="9"/>
  <c r="D13" i="9"/>
  <c r="C13" i="9"/>
  <c r="E54" i="8"/>
  <c r="D54" i="8"/>
  <c r="C54" i="8"/>
  <c r="E53" i="8"/>
  <c r="D53" i="8"/>
  <c r="C53" i="8"/>
  <c r="E48" i="8"/>
  <c r="D48" i="8"/>
  <c r="C48" i="8"/>
  <c r="E47" i="8"/>
  <c r="D47" i="8"/>
  <c r="C47" i="8"/>
  <c r="E46" i="8"/>
  <c r="D46" i="8"/>
  <c r="C46" i="8"/>
  <c r="E45" i="8"/>
  <c r="D45" i="8"/>
  <c r="C45" i="8"/>
  <c r="E44" i="8"/>
  <c r="D44" i="8"/>
  <c r="C44" i="8"/>
  <c r="E43" i="8"/>
  <c r="D43" i="8"/>
  <c r="C43" i="8"/>
  <c r="E18" i="8"/>
  <c r="D18" i="8"/>
  <c r="C18" i="8"/>
  <c r="E17" i="8"/>
  <c r="D17" i="8"/>
  <c r="C17" i="8"/>
  <c r="E16" i="8"/>
  <c r="D16" i="8"/>
  <c r="C16" i="8"/>
  <c r="E15" i="8"/>
  <c r="D15" i="8"/>
  <c r="C15" i="8"/>
  <c r="E14" i="8"/>
  <c r="D14" i="8"/>
  <c r="C14" i="8"/>
  <c r="E13" i="8"/>
  <c r="D13" i="8"/>
  <c r="C13" i="8"/>
  <c r="E50" i="7"/>
  <c r="D50" i="7"/>
  <c r="C50" i="7"/>
  <c r="B225" i="21" s="1"/>
  <c r="E49" i="7"/>
  <c r="D49" i="7"/>
  <c r="C49" i="7"/>
  <c r="E48" i="7"/>
  <c r="D48" i="7"/>
  <c r="C48" i="7"/>
  <c r="B223" i="21" s="1"/>
  <c r="E47" i="7"/>
  <c r="D47" i="7"/>
  <c r="C47" i="7"/>
  <c r="B222" i="21" s="1"/>
  <c r="E46" i="7"/>
  <c r="D46" i="7"/>
  <c r="C46" i="7"/>
  <c r="E37" i="7"/>
  <c r="D37" i="7"/>
  <c r="C37" i="7"/>
  <c r="E36" i="7"/>
  <c r="D36" i="7"/>
  <c r="C36" i="7"/>
  <c r="E35" i="7"/>
  <c r="D35" i="7"/>
  <c r="C35" i="7"/>
  <c r="E34" i="7"/>
  <c r="D34" i="7"/>
  <c r="C34" i="7"/>
  <c r="E33" i="7"/>
  <c r="D33" i="7"/>
  <c r="C33" i="7"/>
  <c r="E31" i="7"/>
  <c r="D31" i="7"/>
  <c r="C31" i="7"/>
  <c r="E30" i="7"/>
  <c r="D30" i="7"/>
  <c r="C30" i="7"/>
  <c r="E29" i="7"/>
  <c r="D29" i="7"/>
  <c r="C29" i="7"/>
  <c r="D141" i="6"/>
  <c r="D142" i="6" s="1"/>
  <c r="D143" i="6" s="1"/>
  <c r="D144" i="6" s="1"/>
  <c r="D145" i="6" s="1"/>
  <c r="D146" i="6" s="1"/>
  <c r="D147" i="6" s="1"/>
  <c r="D148" i="6" s="1"/>
  <c r="D150" i="6" s="1"/>
  <c r="D111" i="6"/>
  <c r="D112" i="6" s="1"/>
  <c r="D113" i="6" s="1"/>
  <c r="D114" i="6" s="1"/>
  <c r="D116" i="6" s="1"/>
  <c r="D79" i="6"/>
  <c r="D80" i="6" s="1"/>
  <c r="D81" i="6" s="1"/>
  <c r="D82" i="6" s="1"/>
  <c r="D83" i="6" s="1"/>
  <c r="D84" i="6" s="1"/>
  <c r="D86" i="6" s="1"/>
  <c r="D46" i="6"/>
  <c r="D47" i="6" s="1"/>
  <c r="D48" i="6" s="1"/>
  <c r="D49" i="6" s="1"/>
  <c r="D50" i="6" s="1"/>
  <c r="D51" i="6" s="1"/>
  <c r="D52" i="6" s="1"/>
  <c r="D54" i="6" s="1"/>
  <c r="C59" i="5"/>
  <c r="G42" i="5"/>
  <c r="F42" i="5"/>
  <c r="E42" i="5"/>
  <c r="D42" i="5"/>
  <c r="C42" i="5"/>
  <c r="G41" i="5"/>
  <c r="B218" i="21" s="1"/>
  <c r="F41" i="5"/>
  <c r="C218" i="21" s="1"/>
  <c r="E41" i="5"/>
  <c r="D41" i="5"/>
  <c r="C41" i="5"/>
  <c r="G39" i="5"/>
  <c r="B217" i="21" s="1"/>
  <c r="F39" i="5"/>
  <c r="C217" i="21" s="1"/>
  <c r="E39" i="5"/>
  <c r="D39" i="5"/>
  <c r="C39" i="5"/>
  <c r="G38" i="5"/>
  <c r="F38" i="5"/>
  <c r="E38" i="5"/>
  <c r="D38" i="5"/>
  <c r="C38" i="5"/>
  <c r="G37" i="5"/>
  <c r="F37" i="5"/>
  <c r="E37" i="5"/>
  <c r="D37" i="5"/>
  <c r="C37" i="5"/>
  <c r="G36" i="5"/>
  <c r="F36" i="5"/>
  <c r="E36" i="5"/>
  <c r="D36" i="5"/>
  <c r="C36" i="5"/>
  <c r="G34" i="5"/>
  <c r="F34" i="5"/>
  <c r="E34" i="5"/>
  <c r="D34" i="5"/>
  <c r="C34" i="5"/>
  <c r="G33" i="5"/>
  <c r="B216" i="21" s="1"/>
  <c r="F33" i="5"/>
  <c r="C216" i="21" s="1"/>
  <c r="E33" i="5"/>
  <c r="D33" i="5"/>
  <c r="C33" i="5"/>
  <c r="G32" i="5"/>
  <c r="F32" i="5"/>
  <c r="E32" i="5"/>
  <c r="D32" i="5"/>
  <c r="C32" i="5"/>
  <c r="G31" i="5"/>
  <c r="F31" i="5"/>
  <c r="E31" i="5"/>
  <c r="D31" i="5"/>
  <c r="C31" i="5"/>
  <c r="G30" i="5"/>
  <c r="F30" i="5"/>
  <c r="E30" i="5"/>
  <c r="D30" i="5"/>
  <c r="C30" i="5"/>
  <c r="G28" i="5"/>
  <c r="F28" i="5"/>
  <c r="E28" i="5"/>
  <c r="D28" i="5"/>
  <c r="C28" i="5"/>
  <c r="G27" i="5"/>
  <c r="F27" i="5"/>
  <c r="E27" i="5"/>
  <c r="D27" i="5"/>
  <c r="C27" i="5"/>
  <c r="G26" i="5"/>
  <c r="F26" i="5"/>
  <c r="E26" i="5"/>
  <c r="D26" i="5"/>
  <c r="C26" i="5"/>
  <c r="O37" i="4"/>
  <c r="N32" i="4"/>
  <c r="M32" i="4"/>
  <c r="L32" i="4"/>
  <c r="K32" i="4"/>
  <c r="J32" i="4"/>
  <c r="I32" i="4"/>
  <c r="H32" i="4"/>
  <c r="G32" i="4"/>
  <c r="F32" i="4"/>
  <c r="E32" i="4"/>
  <c r="D32" i="4"/>
  <c r="C32" i="4"/>
  <c r="O31" i="4"/>
  <c r="O30" i="4"/>
  <c r="O29" i="4"/>
  <c r="N26" i="4"/>
  <c r="M26" i="4"/>
  <c r="L26" i="4"/>
  <c r="K26" i="4"/>
  <c r="J26" i="4"/>
  <c r="I26" i="4"/>
  <c r="H26" i="4"/>
  <c r="G26" i="4"/>
  <c r="F26" i="4"/>
  <c r="E26" i="4"/>
  <c r="D26" i="4"/>
  <c r="C26" i="4"/>
  <c r="O25" i="4"/>
  <c r="O24" i="4"/>
  <c r="H23" i="4"/>
  <c r="G23" i="4"/>
  <c r="F23" i="4"/>
  <c r="E23" i="4"/>
  <c r="D23" i="4"/>
  <c r="C23" i="4"/>
  <c r="H18" i="4"/>
  <c r="G18" i="4"/>
  <c r="F18" i="4"/>
  <c r="E18" i="4"/>
  <c r="D18" i="4"/>
  <c r="C18" i="4"/>
  <c r="O10" i="4"/>
  <c r="F96" i="3"/>
  <c r="E96" i="3"/>
  <c r="D96" i="3"/>
  <c r="C96" i="3"/>
  <c r="F95" i="3"/>
  <c r="E95" i="3"/>
  <c r="D95" i="3"/>
  <c r="C95" i="3"/>
  <c r="F94" i="3"/>
  <c r="E94" i="3"/>
  <c r="D94" i="3"/>
  <c r="C94" i="3"/>
  <c r="F93" i="3"/>
  <c r="E93" i="3"/>
  <c r="D93" i="3"/>
  <c r="C93" i="3"/>
  <c r="F92" i="3"/>
  <c r="E92" i="3"/>
  <c r="D92" i="3"/>
  <c r="C92" i="3"/>
  <c r="F91" i="3"/>
  <c r="E91" i="3"/>
  <c r="D91" i="3"/>
  <c r="C91" i="3"/>
  <c r="F90" i="3"/>
  <c r="E90" i="3"/>
  <c r="D90" i="3"/>
  <c r="C90" i="3"/>
  <c r="F67" i="3"/>
  <c r="F66" i="3"/>
  <c r="F65" i="3"/>
  <c r="F64" i="3"/>
  <c r="E64" i="3"/>
  <c r="D64" i="3"/>
  <c r="C64" i="3"/>
  <c r="F63" i="3"/>
  <c r="E63" i="3"/>
  <c r="D63" i="3"/>
  <c r="C63" i="3"/>
  <c r="F62" i="3"/>
  <c r="E62" i="3"/>
  <c r="D62" i="3"/>
  <c r="C62" i="3"/>
  <c r="F61" i="3"/>
  <c r="E61" i="3"/>
  <c r="D61" i="3"/>
  <c r="C61" i="3"/>
  <c r="F60" i="3"/>
  <c r="E60" i="3"/>
  <c r="D60" i="3"/>
  <c r="C60" i="3"/>
  <c r="F51" i="3"/>
  <c r="E51" i="3"/>
  <c r="D51" i="3"/>
  <c r="C51" i="3"/>
  <c r="E50" i="3"/>
  <c r="D50" i="3"/>
  <c r="C50" i="3"/>
  <c r="E49" i="3"/>
  <c r="D49" i="3"/>
  <c r="C49" i="3"/>
  <c r="F48" i="3"/>
  <c r="E48" i="3"/>
  <c r="D48" i="3"/>
  <c r="C48" i="3"/>
  <c r="F47" i="3"/>
  <c r="E47" i="3"/>
  <c r="D47" i="3"/>
  <c r="C47" i="3"/>
  <c r="F46" i="3"/>
  <c r="E46" i="3"/>
  <c r="D46" i="3"/>
  <c r="C46" i="3"/>
  <c r="F45" i="3"/>
  <c r="E45" i="3"/>
  <c r="D45" i="3"/>
  <c r="C45" i="3"/>
  <c r="F36" i="3"/>
  <c r="E36" i="3"/>
  <c r="D36" i="3"/>
  <c r="C36" i="3"/>
  <c r="F35" i="3"/>
  <c r="E35" i="3"/>
  <c r="D35" i="3"/>
  <c r="C35" i="3"/>
  <c r="F34" i="3"/>
  <c r="E34" i="3"/>
  <c r="D34" i="3"/>
  <c r="C34" i="3"/>
  <c r="F33" i="3"/>
  <c r="E33" i="3"/>
  <c r="D33" i="3"/>
  <c r="C33" i="3"/>
  <c r="F32" i="3"/>
  <c r="E32" i="3"/>
  <c r="D32" i="3"/>
  <c r="C32" i="3"/>
  <c r="F31" i="3"/>
  <c r="E31" i="3"/>
  <c r="D31" i="3"/>
  <c r="C31" i="3"/>
  <c r="F30" i="3"/>
  <c r="E30" i="3"/>
  <c r="D30" i="3"/>
  <c r="C30" i="3"/>
  <c r="F29" i="3"/>
  <c r="E29" i="3"/>
  <c r="D29" i="3"/>
  <c r="C29" i="3"/>
  <c r="F28" i="3"/>
  <c r="E28" i="3"/>
  <c r="D28" i="3"/>
  <c r="C28" i="3"/>
  <c r="D96" i="2"/>
  <c r="D95" i="2"/>
  <c r="D94" i="2"/>
  <c r="D93" i="2"/>
  <c r="D92" i="2"/>
  <c r="D91" i="2"/>
  <c r="D90" i="2"/>
  <c r="D89" i="2"/>
  <c r="G79" i="2"/>
  <c r="F79" i="2"/>
  <c r="E79" i="2"/>
  <c r="D79" i="2"/>
  <c r="C79" i="2"/>
  <c r="G78" i="2"/>
  <c r="F78" i="2"/>
  <c r="E78" i="2"/>
  <c r="D78" i="2"/>
  <c r="C78" i="2"/>
  <c r="G77" i="2"/>
  <c r="F77" i="2"/>
  <c r="E77" i="2"/>
  <c r="D77" i="2"/>
  <c r="C77" i="2"/>
  <c r="G76" i="2"/>
  <c r="F76" i="2"/>
  <c r="E76" i="2"/>
  <c r="D76" i="2"/>
  <c r="C76" i="2"/>
  <c r="B221" i="21" l="1"/>
  <c r="B224" i="21"/>
  <c r="C225" i="21"/>
  <c r="C224" i="21"/>
  <c r="C223" i="21"/>
  <c r="C222" i="21"/>
  <c r="C221" i="21"/>
  <c r="I41" i="5"/>
  <c r="G15" i="6"/>
  <c r="G16" i="6"/>
  <c r="G20" i="6"/>
  <c r="G18" i="6"/>
  <c r="G13" i="6"/>
  <c r="F20" i="6"/>
  <c r="F19" i="6"/>
  <c r="F18" i="6"/>
  <c r="F17" i="6"/>
  <c r="F16" i="6"/>
  <c r="F15" i="6"/>
  <c r="F13" i="6"/>
  <c r="F14" i="6"/>
  <c r="G14" i="6"/>
  <c r="F22" i="24"/>
  <c r="F20" i="24"/>
  <c r="F28" i="24"/>
  <c r="F23" i="24"/>
  <c r="F19" i="24"/>
  <c r="F16" i="24"/>
  <c r="F59" i="24" s="1"/>
  <c r="F25" i="24"/>
  <c r="F17" i="24"/>
  <c r="H36" i="5"/>
  <c r="J36" i="5" s="1"/>
  <c r="H30" i="5"/>
  <c r="J30" i="5" s="1"/>
  <c r="F85" i="25"/>
  <c r="O32" i="4"/>
  <c r="H28" i="5"/>
  <c r="J28" i="5" s="1"/>
  <c r="F31" i="24"/>
  <c r="H32" i="5"/>
  <c r="J32" i="5" s="1"/>
  <c r="F21" i="24"/>
  <c r="J35" i="25"/>
  <c r="F30" i="24"/>
  <c r="D34" i="25"/>
  <c r="D76" i="25" s="1"/>
  <c r="I21" i="4"/>
  <c r="G51" i="2"/>
  <c r="N13" i="4"/>
  <c r="G50" i="2"/>
  <c r="M13" i="4"/>
  <c r="G49" i="2"/>
  <c r="L13" i="4"/>
  <c r="G48" i="2"/>
  <c r="K13" i="4"/>
  <c r="G47" i="2"/>
  <c r="J13" i="4"/>
  <c r="G46" i="2"/>
  <c r="I13" i="4"/>
  <c r="J38" i="25"/>
  <c r="F33" i="24"/>
  <c r="F32" i="24"/>
  <c r="H27" i="5"/>
  <c r="J27" i="5" s="1"/>
  <c r="F24" i="24"/>
  <c r="D77" i="25"/>
  <c r="J77" i="25" s="1"/>
  <c r="J50" i="25"/>
  <c r="J49" i="25"/>
  <c r="I51" i="25"/>
  <c r="H51" i="25"/>
  <c r="G51" i="25"/>
  <c r="F51" i="25"/>
  <c r="E51" i="25"/>
  <c r="D51" i="25"/>
  <c r="D52" i="25" s="1"/>
  <c r="J48" i="25"/>
  <c r="F27" i="24"/>
  <c r="F18" i="24"/>
  <c r="J79" i="24"/>
  <c r="D43" i="24"/>
  <c r="D76" i="24" s="1"/>
  <c r="E78" i="24"/>
  <c r="C82" i="21" s="1"/>
  <c r="G78" i="24"/>
  <c r="C84" i="21" s="1"/>
  <c r="I78" i="24"/>
  <c r="C86" i="21" s="1"/>
  <c r="H78" i="24"/>
  <c r="C85" i="21" s="1"/>
  <c r="F78" i="24"/>
  <c r="C83" i="21" s="1"/>
  <c r="D78" i="24"/>
  <c r="C81" i="21" s="1"/>
  <c r="I80" i="24"/>
  <c r="E86" i="21" s="1"/>
  <c r="G80" i="24"/>
  <c r="E84" i="21" s="1"/>
  <c r="F80" i="24"/>
  <c r="E83" i="21" s="1"/>
  <c r="E80" i="24"/>
  <c r="E82" i="21" s="1"/>
  <c r="D80" i="24"/>
  <c r="E81" i="21" s="1"/>
  <c r="H80" i="24"/>
  <c r="E85" i="21" s="1"/>
  <c r="F29" i="24"/>
  <c r="D81" i="24"/>
  <c r="F81" i="21" s="1"/>
  <c r="G81" i="24"/>
  <c r="F84" i="21" s="1"/>
  <c r="F26" i="24"/>
  <c r="E81" i="24"/>
  <c r="F82" i="21" s="1"/>
  <c r="F81" i="24"/>
  <c r="F83" i="21" s="1"/>
  <c r="H81" i="24"/>
  <c r="F85" i="21" s="1"/>
  <c r="I81" i="24"/>
  <c r="F86" i="21" s="1"/>
  <c r="H39" i="5"/>
  <c r="J39" i="5" s="1"/>
  <c r="H37" i="5"/>
  <c r="J37" i="5" s="1"/>
  <c r="D27" i="4"/>
  <c r="I26" i="5"/>
  <c r="H33" i="5"/>
  <c r="J33" i="5" s="1"/>
  <c r="E27" i="4"/>
  <c r="I36" i="5"/>
  <c r="H31" i="5"/>
  <c r="J31" i="5" s="1"/>
  <c r="H34" i="5"/>
  <c r="J34" i="5" s="1"/>
  <c r="G27" i="4"/>
  <c r="F27" i="4"/>
  <c r="H41" i="5"/>
  <c r="J41" i="5" s="1"/>
  <c r="I39" i="5"/>
  <c r="I38" i="5"/>
  <c r="I37" i="5"/>
  <c r="H42" i="5"/>
  <c r="J42" i="5" s="1"/>
  <c r="H26" i="5"/>
  <c r="J26" i="5" s="1"/>
  <c r="H38" i="5"/>
  <c r="J38" i="5" s="1"/>
  <c r="I32" i="5"/>
  <c r="I33" i="5"/>
  <c r="I31" i="5"/>
  <c r="I30" i="5"/>
  <c r="I28" i="5"/>
  <c r="I27" i="5"/>
  <c r="O26" i="4"/>
  <c r="H27" i="4"/>
  <c r="C27" i="4"/>
  <c r="G85" i="25" l="1"/>
  <c r="D59" i="24"/>
  <c r="E59" i="24"/>
  <c r="G53" i="24"/>
  <c r="I66" i="24"/>
  <c r="H66" i="24"/>
  <c r="G66" i="24"/>
  <c r="F66" i="24"/>
  <c r="E66" i="24"/>
  <c r="D66" i="24"/>
  <c r="D54" i="24"/>
  <c r="F54" i="24"/>
  <c r="I54" i="24"/>
  <c r="E54" i="24"/>
  <c r="H54" i="24"/>
  <c r="G54" i="24"/>
  <c r="E60" i="24"/>
  <c r="I60" i="24"/>
  <c r="G60" i="24"/>
  <c r="D60" i="24"/>
  <c r="F60" i="24"/>
  <c r="H60" i="24"/>
  <c r="G59" i="24"/>
  <c r="H59" i="24"/>
  <c r="I59" i="24"/>
  <c r="F53" i="24"/>
  <c r="D65" i="24"/>
  <c r="E65" i="24"/>
  <c r="F65" i="24"/>
  <c r="G65" i="24"/>
  <c r="H65" i="24"/>
  <c r="I65" i="24"/>
  <c r="D53" i="24"/>
  <c r="I53" i="24"/>
  <c r="E53" i="24"/>
  <c r="H53" i="24"/>
  <c r="O13" i="4"/>
  <c r="I10" i="4"/>
  <c r="D46" i="2"/>
  <c r="F47" i="2"/>
  <c r="J12" i="4"/>
  <c r="L12" i="4"/>
  <c r="F49" i="2"/>
  <c r="F51" i="2"/>
  <c r="N12" i="4"/>
  <c r="F50" i="2"/>
  <c r="M12" i="4"/>
  <c r="F48" i="2"/>
  <c r="K12" i="4"/>
  <c r="I12" i="4"/>
  <c r="F46" i="2"/>
  <c r="N14" i="4"/>
  <c r="H51" i="2"/>
  <c r="H49" i="2"/>
  <c r="L14" i="4"/>
  <c r="K14" i="4"/>
  <c r="H48" i="2"/>
  <c r="J14" i="4"/>
  <c r="H47" i="2"/>
  <c r="I14" i="4"/>
  <c r="H46" i="2"/>
  <c r="H50" i="2"/>
  <c r="M14" i="4"/>
  <c r="I15" i="4"/>
  <c r="I46" i="2"/>
  <c r="I49" i="2"/>
  <c r="L15" i="4"/>
  <c r="J15" i="4"/>
  <c r="I47" i="2"/>
  <c r="I48" i="2"/>
  <c r="K15" i="4"/>
  <c r="I50" i="2"/>
  <c r="M15" i="4"/>
  <c r="I51" i="2"/>
  <c r="N15" i="4"/>
  <c r="J51" i="25"/>
  <c r="E47" i="25"/>
  <c r="J78" i="24"/>
  <c r="J80" i="24"/>
  <c r="J81" i="24"/>
  <c r="D28" i="4"/>
  <c r="D33" i="4"/>
  <c r="D34" i="4" s="1"/>
  <c r="E28" i="4"/>
  <c r="E33" i="4"/>
  <c r="E34" i="4" s="1"/>
  <c r="G33" i="4"/>
  <c r="G34" i="4" s="1"/>
  <c r="G28" i="4"/>
  <c r="F33" i="4"/>
  <c r="F34" i="4" s="1"/>
  <c r="F28" i="4"/>
  <c r="H28" i="4"/>
  <c r="H33" i="4"/>
  <c r="H34" i="4" s="1"/>
  <c r="C28" i="4"/>
  <c r="C33" i="4"/>
  <c r="J66" i="24" l="1"/>
  <c r="J54" i="24"/>
  <c r="G55" i="24"/>
  <c r="G56" i="24"/>
  <c r="J59" i="24"/>
  <c r="F56" i="24"/>
  <c r="F55" i="24"/>
  <c r="F68" i="24"/>
  <c r="F67" i="24"/>
  <c r="G68" i="24"/>
  <c r="G67" i="24"/>
  <c r="D68" i="24"/>
  <c r="J65" i="24"/>
  <c r="D67" i="24"/>
  <c r="E68" i="24"/>
  <c r="E67" i="24"/>
  <c r="H67" i="24"/>
  <c r="H68" i="24"/>
  <c r="I67" i="24"/>
  <c r="I68" i="24"/>
  <c r="D56" i="24"/>
  <c r="J53" i="24"/>
  <c r="D55" i="24"/>
  <c r="I55" i="24"/>
  <c r="I56" i="24"/>
  <c r="E56" i="24"/>
  <c r="E55" i="24"/>
  <c r="H56" i="24"/>
  <c r="H55" i="24"/>
  <c r="O12" i="4"/>
  <c r="O14" i="4"/>
  <c r="O15" i="4"/>
  <c r="E52" i="25"/>
  <c r="I61" i="24"/>
  <c r="I62" i="24"/>
  <c r="G61" i="24"/>
  <c r="G62" i="24"/>
  <c r="J60" i="24"/>
  <c r="D62" i="24"/>
  <c r="D61" i="24"/>
  <c r="E61" i="24"/>
  <c r="E62" i="24"/>
  <c r="F61" i="24"/>
  <c r="F62" i="24"/>
  <c r="H61" i="24"/>
  <c r="H62" i="24"/>
  <c r="C34" i="4"/>
  <c r="G77" i="24" l="1"/>
  <c r="B84" i="21" s="1"/>
  <c r="J67" i="24"/>
  <c r="E77" i="24"/>
  <c r="B82" i="21" s="1"/>
  <c r="F77" i="24"/>
  <c r="B83" i="21" s="1"/>
  <c r="H77" i="24"/>
  <c r="B85" i="21" s="1"/>
  <c r="J55" i="24"/>
  <c r="I77" i="24"/>
  <c r="B86" i="21" s="1"/>
  <c r="D77" i="24"/>
  <c r="B81" i="21" s="1"/>
  <c r="F47" i="25"/>
  <c r="J61" i="24"/>
  <c r="I91" i="24" l="1"/>
  <c r="N22" i="4" s="1"/>
  <c r="G91" i="24"/>
  <c r="L22" i="4" s="1"/>
  <c r="E49" i="2"/>
  <c r="L11" i="4"/>
  <c r="E91" i="24"/>
  <c r="J22" i="4" s="1"/>
  <c r="E47" i="2"/>
  <c r="J11" i="4"/>
  <c r="E48" i="2"/>
  <c r="K11" i="4"/>
  <c r="F91" i="24"/>
  <c r="K22" i="4" s="1"/>
  <c r="H91" i="24"/>
  <c r="M22" i="4" s="1"/>
  <c r="E50" i="2"/>
  <c r="M11" i="4"/>
  <c r="E51" i="2"/>
  <c r="N11" i="4"/>
  <c r="D82" i="24"/>
  <c r="E90" i="24" s="1"/>
  <c r="J77" i="24"/>
  <c r="D91" i="24"/>
  <c r="E46" i="2"/>
  <c r="I11" i="4"/>
  <c r="F52" i="25"/>
  <c r="I16" i="4" l="1"/>
  <c r="I18" i="4" s="1"/>
  <c r="J46" i="2"/>
  <c r="E76" i="24"/>
  <c r="O11" i="4"/>
  <c r="I22" i="4"/>
  <c r="D92" i="24"/>
  <c r="D33" i="25" s="1"/>
  <c r="J91" i="24"/>
  <c r="E34" i="25"/>
  <c r="E76" i="25" s="1"/>
  <c r="J21" i="4"/>
  <c r="G47" i="25"/>
  <c r="E92" i="24"/>
  <c r="E33" i="25" s="1"/>
  <c r="E82" i="24" l="1"/>
  <c r="J47" i="2" s="1"/>
  <c r="D47" i="2"/>
  <c r="J10" i="4"/>
  <c r="O22" i="4"/>
  <c r="I23" i="4"/>
  <c r="I27" i="4" s="1"/>
  <c r="D75" i="25"/>
  <c r="D36" i="25"/>
  <c r="J23" i="4"/>
  <c r="G52" i="25"/>
  <c r="E75" i="25"/>
  <c r="E36" i="25"/>
  <c r="F76" i="24" l="1"/>
  <c r="F90" i="24"/>
  <c r="J16" i="4"/>
  <c r="J18" i="4"/>
  <c r="I33" i="4"/>
  <c r="I34" i="4" s="1"/>
  <c r="I28" i="4"/>
  <c r="D37" i="25"/>
  <c r="D39" i="25"/>
  <c r="D74" i="25" s="1"/>
  <c r="J27" i="4"/>
  <c r="H47" i="25"/>
  <c r="E39" i="25"/>
  <c r="E74" i="25" s="1"/>
  <c r="E78" i="25" s="1"/>
  <c r="E37" i="25"/>
  <c r="K10" i="4" l="1"/>
  <c r="F82" i="24"/>
  <c r="G90" i="24" s="1"/>
  <c r="D48" i="2"/>
  <c r="F34" i="25"/>
  <c r="F76" i="25" s="1"/>
  <c r="K21" i="4"/>
  <c r="K23" i="4" s="1"/>
  <c r="K27" i="4" s="1"/>
  <c r="F92" i="24"/>
  <c r="F33" i="25" s="1"/>
  <c r="J33" i="4"/>
  <c r="J28" i="4"/>
  <c r="H52" i="25"/>
  <c r="D78" i="25"/>
  <c r="J48" i="2" l="1"/>
  <c r="G76" i="24"/>
  <c r="K16" i="4"/>
  <c r="K18" i="4" s="1"/>
  <c r="K33" i="4"/>
  <c r="K34" i="4" s="1"/>
  <c r="K28" i="4"/>
  <c r="F75" i="25"/>
  <c r="F36" i="25"/>
  <c r="G92" i="24"/>
  <c r="G33" i="25" s="1"/>
  <c r="G75" i="25" s="1"/>
  <c r="G34" i="25"/>
  <c r="L21" i="4"/>
  <c r="L23" i="4" s="1"/>
  <c r="L27" i="4" s="1"/>
  <c r="J34" i="4"/>
  <c r="I47" i="25"/>
  <c r="G82" i="24" l="1"/>
  <c r="D49" i="2"/>
  <c r="L10" i="4"/>
  <c r="H90" i="24"/>
  <c r="H76" i="24"/>
  <c r="F39" i="25"/>
  <c r="F74" i="25" s="1"/>
  <c r="F78" i="25" s="1"/>
  <c r="F37" i="25"/>
  <c r="G76" i="25"/>
  <c r="G36" i="25"/>
  <c r="L33" i="4"/>
  <c r="L28" i="4"/>
  <c r="D94" i="25"/>
  <c r="E94" i="25" s="1"/>
  <c r="I52" i="25"/>
  <c r="J49" i="2" l="1"/>
  <c r="L16" i="4"/>
  <c r="L18" i="4" s="1"/>
  <c r="H34" i="25"/>
  <c r="H76" i="25" s="1"/>
  <c r="H92" i="24"/>
  <c r="H33" i="25" s="1"/>
  <c r="M21" i="4"/>
  <c r="M23" i="4" s="1"/>
  <c r="M27" i="4" s="1"/>
  <c r="H82" i="24"/>
  <c r="M10" i="4"/>
  <c r="D50" i="2"/>
  <c r="H26" i="25"/>
  <c r="H10" i="1"/>
  <c r="D86" i="25"/>
  <c r="G39" i="25"/>
  <c r="G74" i="25" s="1"/>
  <c r="G78" i="25" s="1"/>
  <c r="G37" i="25"/>
  <c r="C32" i="7"/>
  <c r="E32" i="7"/>
  <c r="L34" i="4"/>
  <c r="D32" i="7"/>
  <c r="D93" i="25"/>
  <c r="E93" i="25" s="1"/>
  <c r="D87" i="25"/>
  <c r="D96" i="25"/>
  <c r="E96" i="25" s="1"/>
  <c r="J50" i="2" l="1"/>
  <c r="M16" i="4"/>
  <c r="M18" i="4" s="1"/>
  <c r="I76" i="24"/>
  <c r="I90" i="24"/>
  <c r="J90" i="24"/>
  <c r="H75" i="25"/>
  <c r="H36" i="25"/>
  <c r="M33" i="4"/>
  <c r="M34" i="4" s="1"/>
  <c r="M28" i="4"/>
  <c r="I82" i="24" l="1"/>
  <c r="D104" i="24" s="1"/>
  <c r="E104" i="24" s="1"/>
  <c r="N10" i="4"/>
  <c r="D51" i="2"/>
  <c r="I92" i="24"/>
  <c r="I33" i="25" s="1"/>
  <c r="N21" i="4"/>
  <c r="I34" i="25"/>
  <c r="E28" i="7"/>
  <c r="C28" i="7"/>
  <c r="H39" i="25"/>
  <c r="H37" i="25"/>
  <c r="D28" i="7" l="1"/>
  <c r="B12" i="1"/>
  <c r="D100" i="24"/>
  <c r="E100" i="24" s="1"/>
  <c r="N16" i="4"/>
  <c r="J51" i="2"/>
  <c r="J52" i="2" s="1"/>
  <c r="B10" i="1"/>
  <c r="D103" i="24"/>
  <c r="E103" i="24" s="1"/>
  <c r="D101" i="24"/>
  <c r="E101" i="24" s="1"/>
  <c r="J92" i="24"/>
  <c r="O21" i="4"/>
  <c r="N23" i="4"/>
  <c r="J34" i="25"/>
  <c r="I76" i="25"/>
  <c r="J76" i="25" s="1"/>
  <c r="E210" i="21" s="1"/>
  <c r="N18" i="4"/>
  <c r="O16" i="4"/>
  <c r="I36" i="25"/>
  <c r="I75" i="25"/>
  <c r="J75" i="25" s="1"/>
  <c r="J33" i="25"/>
  <c r="H74" i="25"/>
  <c r="O23" i="4" l="1"/>
  <c r="N27" i="4"/>
  <c r="D209" i="21"/>
  <c r="I37" i="25"/>
  <c r="I39" i="25"/>
  <c r="J36" i="25"/>
  <c r="J37" i="25" s="1"/>
  <c r="O27" i="4"/>
  <c r="O28" i="4" s="1"/>
  <c r="N33" i="4"/>
  <c r="N28" i="4"/>
  <c r="H78" i="25"/>
  <c r="D10" i="1" l="1"/>
  <c r="D12" i="1"/>
  <c r="J39" i="25"/>
  <c r="I74" i="25"/>
  <c r="N34" i="4"/>
  <c r="O33" i="4"/>
  <c r="O34" i="4" s="1"/>
  <c r="F12" i="1" l="1"/>
  <c r="F10" i="1"/>
  <c r="J74" i="25"/>
  <c r="I78" i="25"/>
  <c r="B210" i="21" l="1"/>
  <c r="B209" i="21"/>
  <c r="C208" i="21"/>
  <c r="D210" i="21"/>
  <c r="E209" i="21"/>
  <c r="J78" i="25"/>
  <c r="C211" i="21" s="1"/>
  <c r="D95" i="25"/>
  <c r="E95" i="25" s="1"/>
  <c r="B9" i="11" s="1"/>
</calcChain>
</file>

<file path=xl/sharedStrings.xml><?xml version="1.0" encoding="utf-8"?>
<sst xmlns="http://schemas.openxmlformats.org/spreadsheetml/2006/main" count="3174" uniqueCount="1158">
  <si>
    <t>Helio Systems, Inc.</t>
  </si>
  <si>
    <t>Q2 FY2026 Reforecast</t>
  </si>
  <si>
    <t>Reporting date: 30 June 2026</t>
  </si>
  <si>
    <t>Headline position</t>
  </si>
  <si>
    <t>FY2026 REVENUE</t>
  </si>
  <si>
    <t>FY2026 OPERATING LOSS</t>
  </si>
  <si>
    <t>Base reforecast</t>
  </si>
  <si>
    <t>Metric</t>
  </si>
  <si>
    <t>Budget</t>
  </si>
  <si>
    <t>Variance</t>
  </si>
  <si>
    <t>Var %</t>
  </si>
  <si>
    <t>Fav / Unfav</t>
  </si>
  <si>
    <t>Exit ARR  Dec-2026</t>
  </si>
  <si>
    <t>New Logo ARR  FY2026</t>
  </si>
  <si>
    <t>Revenue  FY2026</t>
  </si>
  <si>
    <t>Gross Profit  FY2026</t>
  </si>
  <si>
    <t>Gross Margin  FY2026</t>
  </si>
  <si>
    <t>n/m</t>
  </si>
  <si>
    <t>Total OpEx  FY2026</t>
  </si>
  <si>
    <t>Operating Income / (Loss)  FY2026</t>
  </si>
  <si>
    <t>Ending Headcount  Dec-2026</t>
  </si>
  <si>
    <t>Source: fct_management_variance (Phase 7). Favourable / unfavourable is the mart's own centralised polarity value, not re-derived here.</t>
  </si>
  <si>
    <t>Value</t>
  </si>
  <si>
    <t>Incremental Dec-2027 ARR per $1 of incremental cash</t>
  </si>
  <si>
    <t>Priority</t>
  </si>
  <si>
    <t>Section</t>
  </si>
  <si>
    <t>Headline</t>
  </si>
  <si>
    <t>Source: fct_commentary_output (Phase 7).</t>
  </si>
  <si>
    <t>Q2 FY2026 Reforecast -- ARR &amp; Retention</t>
  </si>
  <si>
    <t>Monthly ARR waterfall -- actual through Jun-2026, Base reforecast after</t>
  </si>
  <si>
    <t>Actual months are shaded blue; Base reforecast months amber. Contraction and churn are stored signed negative, so ending ARR is a plain sum of the seven columns.</t>
  </si>
  <si>
    <t>Month</t>
  </si>
  <si>
    <t>Period</t>
  </si>
  <si>
    <t>Beginning ARR</t>
  </si>
  <si>
    <t>New Logo</t>
  </si>
  <si>
    <t>Expansion</t>
  </si>
  <si>
    <t>Reactivation</t>
  </si>
  <si>
    <t>Contraction</t>
  </si>
  <si>
    <t>Churn</t>
  </si>
  <si>
    <t>Ending ARR</t>
  </si>
  <si>
    <t>Jan-25</t>
  </si>
  <si>
    <t>Actual</t>
  </si>
  <si>
    <t>Feb-25</t>
  </si>
  <si>
    <t>Mar-25</t>
  </si>
  <si>
    <t>Apr-25</t>
  </si>
  <si>
    <t>May-25</t>
  </si>
  <si>
    <t>Jun-25</t>
  </si>
  <si>
    <t>Jul-25</t>
  </si>
  <si>
    <t>Aug-25</t>
  </si>
  <si>
    <t>Sep-25</t>
  </si>
  <si>
    <t>Oct-25</t>
  </si>
  <si>
    <t>Nov-25</t>
  </si>
  <si>
    <t>Dec-25</t>
  </si>
  <si>
    <t>Jan-26</t>
  </si>
  <si>
    <t>Feb-26</t>
  </si>
  <si>
    <t>Mar-26</t>
  </si>
  <si>
    <t>Apr-26</t>
  </si>
  <si>
    <t>May-26</t>
  </si>
  <si>
    <t>Jun-26</t>
  </si>
  <si>
    <t>Jul-26</t>
  </si>
  <si>
    <t>Base Reforecast</t>
  </si>
  <si>
    <t>Aug-26</t>
  </si>
  <si>
    <t>Bars are the five movement components. Jan-25 to Jun-26 is actual; Jul-26 onward is the Base reforecast, where New Logo drops to what the pipeline supports.</t>
  </si>
  <si>
    <t>Sep-26</t>
  </si>
  <si>
    <t>Oct-26</t>
  </si>
  <si>
    <t>Nov-26</t>
  </si>
  <si>
    <t>Dec-26</t>
  </si>
  <si>
    <t>Source: fct_arr_forecast, path Base, segment Total (Phase 6); actual months replicate the Phase 3 fct_arr_waterfall unchanged.</t>
  </si>
  <si>
    <t>TTM retention at 30 June 2026</t>
  </si>
  <si>
    <t>Trailing-twelve-month cohort: every customer with ARR above zero exactly twelve months earlier. GRR is capped per customer before aggregation, so one large expansion cannot mask another customer's contraction.</t>
  </si>
  <si>
    <t>Segment</t>
  </si>
  <si>
    <t>Cohort customers</t>
  </si>
  <si>
    <t>Cohort beginning ARR</t>
  </si>
  <si>
    <t>NRR</t>
  </si>
  <si>
    <t>GRR</t>
  </si>
  <si>
    <t>Logo retention</t>
  </si>
  <si>
    <t>Total</t>
  </si>
  <si>
    <t>SMB</t>
  </si>
  <si>
    <t>Mid-Market</t>
  </si>
  <si>
    <t>Enterprise</t>
  </si>
  <si>
    <t>Source: fct_retention_ttm (Phase 4).</t>
  </si>
  <si>
    <t>Segment panel</t>
  </si>
  <si>
    <t>A reader convenience. Changing the segment below re-reads this panel only; every other figure in the workbook is company Total unless its own row says otherwise.</t>
  </si>
  <si>
    <t>Segment:</t>
  </si>
  <si>
    <t>Jun-2026 Exit ARR (actual)</t>
  </si>
  <si>
    <t>Dec-2026 Exit ARR (Base reforecast)</t>
  </si>
  <si>
    <t>H2 2026 net new ARR</t>
  </si>
  <si>
    <t>Share of Dec-2026 ARR</t>
  </si>
  <si>
    <t>TTM NRR at Jun-2026</t>
  </si>
  <si>
    <t>TTM GRR at Jun-2026</t>
  </si>
  <si>
    <t>TTM logo retention at Jun-2026</t>
  </si>
  <si>
    <t>Forward ATR, next four quarters</t>
  </si>
  <si>
    <t>Source: fct_arr_forecast, fct_retention_ttm, fct_renewal_base (Phases 4 and 6).</t>
  </si>
  <si>
    <t>Forward renewal outlook -- available-to-renew by quarter</t>
  </si>
  <si>
    <t>ATR is each in-force contract's ARR measured today, not its book value at signing. Renewals cluster in Q4 2026 and Q1 2027: real contract-anniversary seasonality, not a smoothing assumption.</t>
  </si>
  <si>
    <t>Renewal quarter</t>
  </si>
  <si>
    <t>2026Q3</t>
  </si>
  <si>
    <t>2026Q4</t>
  </si>
  <si>
    <t>2027Q1</t>
  </si>
  <si>
    <t>2027Q2</t>
  </si>
  <si>
    <t>2027Q3</t>
  </si>
  <si>
    <t>2027Q4</t>
  </si>
  <si>
    <t>Source: fct_renewal_base (Phase 4).</t>
  </si>
  <si>
    <t>Q2 FY2026 Reforecast -- GTM capacity, pipeline and unit economics</t>
  </si>
  <si>
    <t>New Logo ARR is LEAST(New Logo productive capacity, pipeline-supported bookings). Blended capacity credits Expansion and Renewal Uplift work the New Logo target was never sized against, so it is shown for context and never compared to that target.</t>
  </si>
  <si>
    <t>H2 2026, Base reforecast</t>
  </si>
  <si>
    <t>New Logo productive capacity (capacity-supported)</t>
  </si>
  <si>
    <t>Pipeline-supported bookings</t>
  </si>
  <si>
    <t>Constrained New Logo ARR = LEAST of the two</t>
  </si>
  <si>
    <t>Binding constraint</t>
  </si>
  <si>
    <t>Segment-months pipeline-bound (of 6)</t>
  </si>
  <si>
    <t>Segment-months capacity-bound (of 6)</t>
  </si>
  <si>
    <t>FY2026 Budget New Logo ARR</t>
  </si>
  <si>
    <t>FY2026 Base New Logo ARR</t>
  </si>
  <si>
    <t>New Logo ARR variance vs Budget</t>
  </si>
  <si>
    <t>Source: fct_new_logo_diagnosis and int_gtm_capacity_pipeline_forecast (Phases 6-7). Pipeline binds in 15 of the 18 H2 2026 segment-months -- a result the model produced, not a target it was tuned to.</t>
  </si>
  <si>
    <t>Sales capacity at 30 June 2026</t>
  </si>
  <si>
    <t>Three different capacity measures, never conflated. Expected attainment is the trailing realised attainment of fully-ramped reps, by segment.</t>
  </si>
  <si>
    <t>At 30 June 2026, monthly</t>
  </si>
  <si>
    <t>Quota-carrying reps</t>
  </si>
  <si>
    <t>Theoretical quota capacity (monthly)</t>
  </si>
  <si>
    <t>Blended productive capacity (monthly)</t>
  </si>
  <si>
    <t>Read left to right within each segment: what the reps could sell, what the funnel supports, and what the model books. The third bar is the lesser of the first two -- pipeline sits below capacity in every segment.</t>
  </si>
  <si>
    <t>New Logo productive capacity (monthly)</t>
  </si>
  <si>
    <t>Expected attainment</t>
  </si>
  <si>
    <t>New Logo share of credited bookings</t>
  </si>
  <si>
    <t>Actual bookings (month)</t>
  </si>
  <si>
    <t>Source: fct_sales_capacity, int_gtm_new_logo_mix (Phase 5).</t>
  </si>
  <si>
    <t>Pipeline, conversion and cycle</t>
  </si>
  <si>
    <t>Win rate is Closed Won / (Closed Won + Closed Lost), New Logo only -- open pipeline is excluded from the denominator. Median cycle is the headline because the distribution is right-skewed.</t>
  </si>
  <si>
    <t>All closed New Logo opportunities to date</t>
  </si>
  <si>
    <t>New Logo win rate (all-time)</t>
  </si>
  <si>
    <t>Required pipeline per $1 of target</t>
  </si>
  <si>
    <t>Median sales cycle</t>
  </si>
  <si>
    <t>Closed-won New Logo opportunities</t>
  </si>
  <si>
    <t>Closed-lost New Logo opportunities</t>
  </si>
  <si>
    <t>Open CRM pipeline ACV at 30 Jun 2026 (unweighted)</t>
  </si>
  <si>
    <t>Open CRM pipeline ACV (probability-weighted)</t>
  </si>
  <si>
    <t>Open pipeline coverage of the FY2026 Budget New Logo ARR target</t>
  </si>
  <si>
    <t>Source: fct_pipeline_snapshot, int_crm_opportunity_normalized (Phase 5); Budget New Logo ARR from fct_new_logo_diagnosis (Phase 7).</t>
  </si>
  <si>
    <t>SaaS unit economics -- FY2025</t>
  </si>
  <si>
    <t>Period-summed: bookings and cost sum across the year, then divide once. CAC uses prior-quarter acquisition S&amp;M; payback uses a company-level blended gross margin, because the source ledger carries no customer-segment dimension on revenue or COGS.</t>
  </si>
  <si>
    <t>FY2025</t>
  </si>
  <si>
    <t>Blended</t>
  </si>
  <si>
    <t>New logos acquired</t>
  </si>
  <si>
    <t>New Logo ARR</t>
  </si>
  <si>
    <t>New Logo ARPA</t>
  </si>
  <si>
    <t>New-customer CAC</t>
  </si>
  <si>
    <t>CAC per $1 of New Logo ARR</t>
  </si>
  <si>
    <t>Gross margin used in payback</t>
  </si>
  <si>
    <t>CAC payback</t>
  </si>
  <si>
    <t>Net ARR Sales Efficiency (FY2025 average)</t>
  </si>
  <si>
    <t>Magic Number, classic (FY2025 average)</t>
  </si>
  <si>
    <t>Net ARR Sales Efficiency (2026Q2)</t>
  </si>
  <si>
    <t>The two are a labelled pair, never averaged into one number: Net ARR Sales Efficiency is ARR-based and forward-leaning; the Magic Number is recognised-revenue-based and lags.</t>
  </si>
  <si>
    <t>Source: fct_unit_economics, fct_sales_efficiency (Phase 5).</t>
  </si>
  <si>
    <t>Q2 FY2026 Reforecast -- FY2026 monthly reforecast</t>
  </si>
  <si>
    <t>JAN-JUN 2026  ACTUAL</t>
  </si>
  <si>
    <t>JUL-DEC 2026  BASE REFORECAST</t>
  </si>
  <si>
    <t>FY2026</t>
  </si>
  <si>
    <t>$000 unless stated</t>
  </si>
  <si>
    <t>ARR waterfall</t>
  </si>
  <si>
    <t>Waterfall check (must be zero)</t>
  </si>
  <si>
    <t>Profit and loss</t>
  </si>
  <si>
    <t>Subscription Revenue</t>
  </si>
  <si>
    <t>Services Revenue</t>
  </si>
  <si>
    <t>Total Revenue</t>
  </si>
  <si>
    <t>Subscription COGS</t>
  </si>
  <si>
    <t>Services COGS</t>
  </si>
  <si>
    <t>Total COGS</t>
  </si>
  <si>
    <t>Gross Profit</t>
  </si>
  <si>
    <t>Gross Margin %</t>
  </si>
  <si>
    <t>Sales &amp; Marketing</t>
  </si>
  <si>
    <t>Research &amp; Development</t>
  </si>
  <si>
    <t>General &amp; Administrative</t>
  </si>
  <si>
    <t>Total OpEx</t>
  </si>
  <si>
    <t>Operating Income / (Loss)</t>
  </si>
  <si>
    <t>Operating Margin %</t>
  </si>
  <si>
    <t>Headcount</t>
  </si>
  <si>
    <t>Ending Headcount</t>
  </si>
  <si>
    <t>FY2027 is a forward runway projection and is deliberately not shown here -- it is not part of the FY2026 reforecast. See the Scenarios and Runway &amp; Hiring tabs.</t>
  </si>
  <si>
    <t>Source: fct_arr_forecast, fct_pnl_reforecast, fct_headcount_forecast, path Base (Phase 6). Detail lines are mart values; subtotals, margins and the FY2026 column are Excel formulas over them.</t>
  </si>
  <si>
    <t>Q2 FY2026 Reforecast -- management profit and loss</t>
  </si>
  <si>
    <t>FY2026 management P&amp;L -- Board Budget vs Base reforecast</t>
  </si>
  <si>
    <t>Variance is Base less Budget. Favourable / unfavourable is derived from the Phase 7 centralised metric polarity, so a cost under-run reads favourable and a revenue shortfall reads unfavourable without either being asserted here.</t>
  </si>
  <si>
    <t>FY2025 actual</t>
  </si>
  <si>
    <t>H1 2026 actual</t>
  </si>
  <si>
    <t>H2 2026 Base</t>
  </si>
  <si>
    <t>FY2026 Base</t>
  </si>
  <si>
    <t>FY2026 Budget</t>
  </si>
  <si>
    <t>F / U</t>
  </si>
  <si>
    <t>Source: fct_pnl_reforecast, path Base (Phase 6) and int_budget_reforecast_comparison at source GL grain (Phase 7). Budget Gross Profit and Operating Income are the Phase 7 bridge anchors.</t>
  </si>
  <si>
    <t>Dec-2026 ending headcount by function -- Base reforecast</t>
  </si>
  <si>
    <t>Budget carries Ending Headcount as one company-level statistical figure with no functional split, so this table has no Budget column. Fabricating one would invent a departmental plan the source does not contain.</t>
  </si>
  <si>
    <t>Function</t>
  </si>
  <si>
    <t>Ending headcount</t>
  </si>
  <si>
    <t>Customer Success</t>
  </si>
  <si>
    <t>Engineering</t>
  </si>
  <si>
    <t>G&amp;A</t>
  </si>
  <si>
    <t>Marketing</t>
  </si>
  <si>
    <t>Product &amp; Design</t>
  </si>
  <si>
    <t>Professional Services</t>
  </si>
  <si>
    <t>Sales</t>
  </si>
  <si>
    <t>Support &amp; Cloud Ops</t>
  </si>
  <si>
    <t>Source: fct_headcount_forecast, path Base (Phase 6).</t>
  </si>
  <si>
    <t>Q2 FY2026 Reforecast -- Board Budget to Base reforecast bridges</t>
  </si>
  <si>
    <t>Running balance is an Excel formula over the mart's own component amounts. The residual line proves the walk closes: it is the mart's stated Base value less the workbook's own running balance, and it must be zero.</t>
  </si>
  <si>
    <t>Dec-2026 Exit ARR -- Budget to Base</t>
  </si>
  <si>
    <t>Beginning ARR at 31-Dec-2025 is real, shared actual history and identical on both sides, so the bridge collapses to the five movement variances.</t>
  </si>
  <si>
    <t>Bridge line</t>
  </si>
  <si>
    <t>Budget Exit ARR</t>
  </si>
  <si>
    <t>Opening ARR variance (31-Dec-2025 actual, identical both sides)</t>
  </si>
  <si>
    <t>New Logo ARR variance</t>
  </si>
  <si>
    <t>Expansion ARR variance</t>
  </si>
  <si>
    <t>Reactivation ARR variance</t>
  </si>
  <si>
    <t>Contraction ARR variance</t>
  </si>
  <si>
    <t>Churn ARR variance</t>
  </si>
  <si>
    <t>Base Reforecast Exit ARR</t>
  </si>
  <si>
    <t>Residual (must be zero)</t>
  </si>
  <si>
    <t>Source: fct_arr_budget_bridge (Phase 7).</t>
  </si>
  <si>
    <t>FY2026 Gross Profit -- Budget to Base</t>
  </si>
  <si>
    <t>Every COGS driver is split payroll versus non-payroll and calculated from the same mechanics Phase 6 used to build Base -- no 'other' catch-all line.</t>
  </si>
  <si>
    <t>Budget Gross Profit</t>
  </si>
  <si>
    <t>Revenue impact</t>
  </si>
  <si>
    <t>Subscription COGS - payroll impact</t>
  </si>
  <si>
    <t>Subscription COGS - non-payroll impact</t>
  </si>
  <si>
    <t>Services COGS - payroll impact</t>
  </si>
  <si>
    <t>Services COGS - non-payroll impact</t>
  </si>
  <si>
    <t>Base Gross Profit</t>
  </si>
  <si>
    <t>Source: fct_gross_profit_bridge (Phase 7).</t>
  </si>
  <si>
    <t>FY2026 Total OpEx -- Budget to Base</t>
  </si>
  <si>
    <t>Payroll, sales commissions and non-payroll run rate, across all three categories. Category-level detail is in tbl_opex_bridge_all on Data_Bridge.</t>
  </si>
  <si>
    <t>Budget Total OpEx</t>
  </si>
  <si>
    <t>Payroll impact (all categories)</t>
  </si>
  <si>
    <t>Sales commissions impact</t>
  </si>
  <si>
    <t>Non-payroll run-rate impact (all categories)</t>
  </si>
  <si>
    <t>Base Total OpEx</t>
  </si>
  <si>
    <t>Source: fct_opex_budget_bridge (Phase 7).</t>
  </si>
  <si>
    <t>FY2026 Operating Income / (Loss) -- Budget to Base</t>
  </si>
  <si>
    <t>Every revenue, COGS and OpEx variance signed by its actual effect on profit, so the walk reconciles end to end.</t>
  </si>
  <si>
    <t>Budget Operating Income / (Loss)</t>
  </si>
  <si>
    <t>Revenue variance - Subscription</t>
  </si>
  <si>
    <t>Revenue variance - Services</t>
  </si>
  <si>
    <t>Subscription COGS impact</t>
  </si>
  <si>
    <t>Services COGS impact</t>
  </si>
  <si>
    <t>Sales &amp; Marketing OpEx impact</t>
  </si>
  <si>
    <t>Research &amp; Development OpEx impact</t>
  </si>
  <si>
    <t>General &amp; Administrative OpEx impact</t>
  </si>
  <si>
    <t>Base Operating Income / (Loss)</t>
  </si>
  <si>
    <t>Source: fct_operating_income_bridge (Phase 7).</t>
  </si>
  <si>
    <t>FY2026 Gross Margin</t>
  </si>
  <si>
    <t>Reported in basis points, never as a bare percentage-point difference.</t>
  </si>
  <si>
    <t>Budget Gross Margin %</t>
  </si>
  <si>
    <t>Base Gross Margin %</t>
  </si>
  <si>
    <t>Gross Margin variance</t>
  </si>
  <si>
    <t>FY2026 Revenue -- Subscription, Services and Total</t>
  </si>
  <si>
    <t>A calculated recognition-mechanic decomposition: the same ARR-lag and attach-ratio mechanics Phase 6 uses to build Base, run over Budget's own ARR path. Never a fabricated price-volume split.</t>
  </si>
  <si>
    <t>Revenue line</t>
  </si>
  <si>
    <t>Budget Services Revenue</t>
  </si>
  <si>
    <t>Attach-rate mechanic effect (ratio formula vs. Budget stated)</t>
  </si>
  <si>
    <t>New Logo ARR effect</t>
  </si>
  <si>
    <t>H1 actual-vs-mechanical residual</t>
  </si>
  <si>
    <t>Base Services Revenue</t>
  </si>
  <si>
    <t>Budget Subscription Revenue</t>
  </si>
  <si>
    <t>Recognition-mechanic effect (lag formula vs. Budget stated)</t>
  </si>
  <si>
    <t>ARR / recurring-base effect</t>
  </si>
  <si>
    <t>Base Subscription Revenue</t>
  </si>
  <si>
    <t>Budget Total Revenue</t>
  </si>
  <si>
    <t>Recognition-mechanic + attach-rate effect (combined)</t>
  </si>
  <si>
    <t>ARR / New Logo effect (combined)</t>
  </si>
  <si>
    <t>H1 actual-vs-mechanical residual (combined)</t>
  </si>
  <si>
    <t>Base Total Revenue</t>
  </si>
  <si>
    <t>Source: fct_revenue_budget_bridge (Phase 7).</t>
  </si>
  <si>
    <t>Segment ARR bridges are in tbl_arr_bridge_segment on Data_Bridge. Budget's five ARR movement components carry no segment grain in the source, so the Budget side of a segment bridge is an allocation and is labelled budget_grain = 'allocated'. Base's segment figures are always segment-native.</t>
  </si>
  <si>
    <t>Q2 FY2026 Reforecast -- Bear / Base / Bull operating scenarios</t>
  </si>
  <si>
    <t>Bear</t>
  </si>
  <si>
    <t>Base</t>
  </si>
  <si>
    <t>Bull</t>
  </si>
  <si>
    <t>Dec-2026 Exit ARR</t>
  </si>
  <si>
    <t>FY2026 revenue</t>
  </si>
  <si>
    <t>FY2026 operating income / (loss)</t>
  </si>
  <si>
    <t>Dec-2027 Exit ARR</t>
  </si>
  <si>
    <t>Dec-2026 cash</t>
  </si>
  <si>
    <t>Dec-2027 cash</t>
  </si>
  <si>
    <t>Board-policy average monthly burn</t>
  </si>
  <si>
    <t>Board-policy runway</t>
  </si>
  <si>
    <t>Headroom vs the 24-month floor</t>
  </si>
  <si>
    <t>Breaches the Board floor</t>
  </si>
  <si>
    <t>Source: fct_scenario_monthly and fct_cash_runway_policy (Phase 6).</t>
  </si>
  <si>
    <t>Scenario assumptions -- management levers, not history</t>
  </si>
  <si>
    <t>Five multipliers, each tied to one separately modelled mechanism, applied on top of the data-derived Base rates. Never a blanket revenue or EBITDA multiplier, and never presented as derived from actuals.</t>
  </si>
  <si>
    <t>Management lever</t>
  </si>
  <si>
    <t>Win rate multiplier</t>
  </si>
  <si>
    <t>Attainment multiplier</t>
  </si>
  <si>
    <t>Pipeline creation multiplier</t>
  </si>
  <si>
    <t>Retention severity multiplier</t>
  </si>
  <si>
    <t>Expansion multiplier</t>
  </si>
  <si>
    <t>Amber cells are management assumptions (config/assumptions.yml: forecast.scenario_multipliers). Every other figure on this tab is calculated output. Reactivation is deliberately not scenario-varied: it is small and historically noisy.</t>
  </si>
  <si>
    <t>Source: config/assumptions.yml and int_forecast_drivers (Phase 6).</t>
  </si>
  <si>
    <t>Q2 FY2026 Reforecast -- runway and the incremental hiring decision</t>
  </si>
  <si>
    <t>Two questions, answered separately and never collapsed into one: can the company afford a hiring case against the Board's runway floor, and is that case a good use of the spend. Affordable does not mean attractive.</t>
  </si>
  <si>
    <t>A.  AFFORDABILITY  --  Board-policy runway vs the 24-month floor</t>
  </si>
  <si>
    <t>The Board-policy view anchors on the approved FY2027 average monthly burn and moves it only by each case's own modelled burn delta. The model-derived operating cash proxy supplies deltas, never the level -- it carries no working capital, no capex and no cash-flow-statement adjustments beyond one D&amp;A add-back.</t>
  </si>
  <si>
    <t>Hiring case</t>
  </si>
  <si>
    <t>No Incremental GTM</t>
  </si>
  <si>
    <t>Targeted / Runway-Constrained</t>
  </si>
  <si>
    <t>Full Capacity-Close</t>
  </si>
  <si>
    <t>Incremental hires</t>
  </si>
  <si>
    <t>Board runway floor</t>
  </si>
  <si>
    <t>Headroom vs the floor</t>
  </si>
  <si>
    <t>Breaches the floor</t>
  </si>
  <si>
    <t>Source: fct_cash_runway_policy, fct_hiring_scenario (Phase 6).</t>
  </si>
  <si>
    <t>B.  ECONOMIC ATTRACTIVENESS  --  the FY2027 fuller-ramp horizon</t>
  </si>
  <si>
    <t>Hires start 31 Oct 2026, so Dec-2026 is only weeks into ramp and understates the decision-relevant economics. Dec-2027 is the horizon management should judge the case on; Dec-2026 is carried below as a near-term ramp snapshot only.</t>
  </si>
  <si>
    <t>Incremental Dec-2027 Exit ARR</t>
  </si>
  <si>
    <t>Incremental cumulative cash consumed to Dec-2027</t>
  </si>
  <si>
    <t>Incremental operating income, Dec-2027</t>
  </si>
  <si>
    <t>H2 2026 New Logo productive capacity</t>
  </si>
  <si>
    <t>Full Capacity-Close buys incremental ARR at several times its size in cash, while pipeline -- not capacity -- is what binds New Logo ARR. Affordable is not the same question as attractive.</t>
  </si>
  <si>
    <t>Binding constraint on New Logo ARR</t>
  </si>
  <si>
    <t>Near-term Dec-2026 ramp impact -- shown separately, not the decision view</t>
  </si>
  <si>
    <t>Incremental Dec-2026 Exit ARR</t>
  </si>
  <si>
    <t>Incremental cumulative cash consumed to Dec-2026</t>
  </si>
  <si>
    <t>Source: fct_hiring_scenario, fct_new_logo_diagnosis (Phases 6-7). Hire counts are computed from the H2 2026 capacity gap by segment, never picked by hand.</t>
  </si>
  <si>
    <t>Headroom</t>
  </si>
  <si>
    <t>Breaches floor</t>
  </si>
  <si>
    <t>Operating scenario</t>
  </si>
  <si>
    <t>Yes</t>
  </si>
  <si>
    <t>Base -- No Incremental GTM Hiring</t>
  </si>
  <si>
    <t>Operating scenario / hiring case</t>
  </si>
  <si>
    <t>No</t>
  </si>
  <si>
    <t>Targeted / Runway-Constrained Hiring</t>
  </si>
  <si>
    <t>Full Capacity-Close Hiring</t>
  </si>
  <si>
    <t>Q2 FY2026 Reforecast -- SaaS accounting: deferred revenue and ASC 340-40</t>
  </si>
  <si>
    <t>A reconciliation layer, not a replacement. It reads the frozen Phase 3-7 output and the source ledger and writes back to neither. The Board reforecast, the runway calculation and the hiring decision all continue to run on the Phase 6 P&amp;L.</t>
  </si>
  <si>
    <t>Bookings, billings, ARR and revenue are four different metrics</t>
  </si>
  <si>
    <t>Collapsing these into one number is the most common way a SaaS model misleads. Each row is measured on its own basis from its own model; none is derived from another.</t>
  </si>
  <si>
    <t>FY2024</t>
  </si>
  <si>
    <t>H1 2026</t>
  </si>
  <si>
    <t>Bookings -- TCV</t>
  </si>
  <si>
    <t>Bookings -- ACV</t>
  </si>
  <si>
    <t>Subscription billings</t>
  </si>
  <si>
    <t>Exit ARR</t>
  </si>
  <si>
    <t>Contract-level analytical revenue</t>
  </si>
  <si>
    <t>GL subscription revenue (4000 + 4010)</t>
  </si>
  <si>
    <t>Ending deferred revenue</t>
  </si>
  <si>
    <t>Ending unbilled receivable</t>
  </si>
  <si>
    <t>The contract schedule runs roughly 2-3% above the source GL: the ledger recognises a weighted lag of prior month-end ARR, the schedule recognises the current month's in-force rate. A difference in recognition convention with a stated cause -- neither series is corrected toward the other, and Phase 6 is not restated.</t>
  </si>
  <si>
    <t>Source: fct_crm_bookings, fct_billings, fct_arr_forecast, fct_revenue_accounting_reconciliation, fct_deferred_revenue (Phases 5, 6 and 8).</t>
  </si>
  <si>
    <t>Deferred revenue rollforward</t>
  </si>
  <si>
    <t>Quarter</t>
  </si>
  <si>
    <t>Beginning DR</t>
  </si>
  <si>
    <t>Billings</t>
  </si>
  <si>
    <t>Revenue recognised (deducted)</t>
  </si>
  <si>
    <t>Unbilled movement</t>
  </si>
  <si>
    <t>Ending DR</t>
  </si>
  <si>
    <t>Residual</t>
  </si>
  <si>
    <t>2024Q1</t>
  </si>
  <si>
    <t>2024Q2</t>
  </si>
  <si>
    <t>2024Q3</t>
  </si>
  <si>
    <t>2024Q4</t>
  </si>
  <si>
    <t>2025Q1</t>
  </si>
  <si>
    <t>2025Q2</t>
  </si>
  <si>
    <t>2025Q3</t>
  </si>
  <si>
    <t>2025Q4</t>
  </si>
  <si>
    <t>2026Q1</t>
  </si>
  <si>
    <t>2026Q2</t>
  </si>
  <si>
    <t>Long-term deferred revenue is structurally zero: the longest billing period in this contract population is twelve months, so no invoice covers service more than eleven months beyond a month end. A property of the book, not an assumption.</t>
  </si>
  <si>
    <t>Source: fct_deferred_revenue (Phase 8).</t>
  </si>
  <si>
    <t>Sales commission -- earned, cash and GAAP expense (ASC 340-40)</t>
  </si>
  <si>
    <t>H2 2026</t>
  </si>
  <si>
    <t>FY2027</t>
  </si>
  <si>
    <t>Beginning commission asset</t>
  </si>
  <si>
    <t>Commission earned</t>
  </si>
  <si>
    <t>Expensed as incurred (41%)</t>
  </si>
  <si>
    <t>Capitalised (59%)</t>
  </si>
  <si>
    <t>Amortisation of prior cohorts</t>
  </si>
  <si>
    <t>GAAP commission expense</t>
  </si>
  <si>
    <t>Commission paid in cash</t>
  </si>
  <si>
    <t>Ending commission asset</t>
  </si>
  <si>
    <t>P&amp;L expense reconciled, asset analytically derived. Immediate expense ties to account 6030 and amortisation to account 6040 to the cent in every actual month; the asset is the arithmetic consequence of those two reconciled flows, because fact_gl_actuals is a P&amp;L extract and the source carries no balance sheet at all.</t>
  </si>
  <si>
    <t>Capitalisation is a timing effect, not a saving: it moves when the expense is recognised, not whether it is paid. Cash commission is carried on the same rows precisely so the two cannot be conflated.</t>
  </si>
  <si>
    <t>Source: fct_commission_asset, path Base (Phase 8).</t>
  </si>
  <si>
    <t>The accounting adjustment to the Phase 6 forecast, and its size</t>
  </si>
  <si>
    <t>Zero across every actual month by construction -- in actual months the schedule reproduces the ledger rather than restating it. In the forecast the adjustment is the amortisation difference alone: a real cohort rollforward against Phase 6's flat run rate.</t>
  </si>
  <si>
    <t>Commission accounting adjustment</t>
  </si>
  <si>
    <t>Phase 6 total revenue</t>
  </si>
  <si>
    <t>Adjustment as % of revenue</t>
  </si>
  <si>
    <t>Largest single month</t>
  </si>
  <si>
    <t>All actual months</t>
  </si>
  <si>
    <t>The adjustment is immaterial, and that is the finding rather than a disappointment. At roughly $0.7M of commission earned a year against $33M of ARR, commission capitalisation is a real mechanic with a negligible P&amp;L effect. This tab does not replace the official forecast.</t>
  </si>
  <si>
    <t>Source: fct_accounting_enhanced_pnl (Phase 8).</t>
  </si>
  <si>
    <t>Q2 FY2026 Reforecast -- assumptions and methodology</t>
  </si>
  <si>
    <t>Decision-driving assumptions</t>
  </si>
  <si>
    <t>The assumptions a reviewer would actually challenge, not a dump of every configuration key. Values are read from config/assumptions.yml, config/commentary_rules.yml and the approved marts on every build, so they cannot drift out of step with the numbers.</t>
  </si>
  <si>
    <t>Assumption</t>
  </si>
  <si>
    <t>Unit</t>
  </si>
  <si>
    <t>Source / rationale</t>
  </si>
  <si>
    <t>Type</t>
  </si>
  <si>
    <t>Reporting date</t>
  </si>
  <si>
    <t>30 June 2026</t>
  </si>
  <si>
    <t>date</t>
  </si>
  <si>
    <t>config: periods.reporting_date -- the FY2026 Q2 close</t>
  </si>
  <si>
    <t>Frozen Phase 1</t>
  </si>
  <si>
    <t>Forecast cutover (first forecast month)</t>
  </si>
  <si>
    <t>31 July 2026</t>
  </si>
  <si>
    <t>config: forecast.horizon.reforecast_start; Jan-Jun 2026 stays realised actual</t>
  </si>
  <si>
    <t>Budget version being explained</t>
  </si>
  <si>
    <t>FY2026-Board-Approved</t>
  </si>
  <si>
    <t>text</t>
  </si>
  <si>
    <t>config: periods.budget_version, locked 15 Dec 2025</t>
  </si>
  <si>
    <t>Board decision month</t>
  </si>
  <si>
    <t>30 September 2026</t>
  </si>
  <si>
    <t>config: forecast.horizon.board_decision_month</t>
  </si>
  <si>
    <t>Open-requisition assumed fill date</t>
  </si>
  <si>
    <t>31 August 2026</t>
  </si>
  <si>
    <t>config: forecast.open_req_assumed_fill_date -- one dated fill for every currently open req, scenario-invariant</t>
  </si>
  <si>
    <t>Management assumption</t>
  </si>
  <si>
    <t>Incremental sales hire start date</t>
  </si>
  <si>
    <t>31 October 2026</t>
  </si>
  <si>
    <t>config: forecast.horizon.incremental_hire_start_month -- one month after the September Board decision</t>
  </si>
  <si>
    <t>New Logo win rate, Base (by segment)</t>
  </si>
  <si>
    <t>12% - 26%</t>
  </si>
  <si>
    <t>rate</t>
  </si>
  <si>
    <t>int_forecast_drivers -- trailing-12-month New Logo win rate by segment</t>
  </si>
  <si>
    <t>Historical derivation</t>
  </si>
  <si>
    <t>Forward pipeline creation, Base (by segment)</t>
  </si>
  <si>
    <t>$472k - $797k / month</t>
  </si>
  <si>
    <t>USD ACV / month</t>
  </si>
  <si>
    <t>int_forecast_drivers -- trailing-12-month monthly New Logo pipeline creation ACV, for months beyond the current CRM snapshot</t>
  </si>
  <si>
    <t>Attainment multiplier (Bear / Base / Bull)</t>
  </si>
  <si>
    <t>0.85 / 1.0 / 1.15</t>
  </si>
  <si>
    <t>multiplier</t>
  </si>
  <si>
    <t>config: forecast.scenario_multipliers.attainment -- applied to Phase 5's derived expected attainment</t>
  </si>
  <si>
    <t>Win-rate multiplier (Bear / Base / Bull)</t>
  </si>
  <si>
    <t>config: forecast.scenario_multipliers.win_rate</t>
  </si>
  <si>
    <t>Pipeline-creation multiplier (Bear / Base / Bull)</t>
  </si>
  <si>
    <t>0.8 / 1.0 / 1.25</t>
  </si>
  <si>
    <t>config: forecast.scenario_multipliers.pipeline_creation</t>
  </si>
  <si>
    <t>Retention severity (Bear / Base / Bull)</t>
  </si>
  <si>
    <t>1.2 / 1.0 / 0.85</t>
  </si>
  <si>
    <t>config: forecast.scenario_multipliers.retention_severity -- &gt;1 is worse churn and contraction</t>
  </si>
  <si>
    <t>Expansion multiplier (Bear / Base / Bull)</t>
  </si>
  <si>
    <t>0.85 / 1.0 / 1.2</t>
  </si>
  <si>
    <t>config: forecast.scenario_multipliers.expansion</t>
  </si>
  <si>
    <t>Sales commission rates (New Logo / Expansion / Renewal Uplift)</t>
  </si>
  <si>
    <t>9% / 6% / 3%</t>
  </si>
  <si>
    <t>% of ACV</t>
  </si>
  <si>
    <t>config: sales_reps.commission_rate_* -- the approved rate card</t>
  </si>
  <si>
    <t>Accounting policy</t>
  </si>
  <si>
    <t>Commission expensed as incurred</t>
  </si>
  <si>
    <t>share of earned</t>
  </si>
  <si>
    <t>config: gl.commission_expensed_share -- the frozen entity policy rate the ledger itself applies</t>
  </si>
  <si>
    <t>Commission capitalised (ASC 340-40)</t>
  </si>
  <si>
    <t>the complement of the expensed share; incremental costs of obtaining a contract, ASC 340-40-25-1</t>
  </si>
  <si>
    <t>Commission amortisation useful life</t>
  </si>
  <si>
    <t>months</t>
  </si>
  <si>
    <t>config: gl.commission_amortisation_months -- renewal commission is not commensurate with the initial commission, ASC 340-40-35-1</t>
  </si>
  <si>
    <t>Subscription revenue recognition lag</t>
  </si>
  <si>
    <t>55% M-1 / 45% M-2</t>
  </si>
  <si>
    <t>weights</t>
  </si>
  <si>
    <t>config: gl.subscription_revenue_lag_weights -- the ledger's own convention, reused unchanged in the forecast</t>
  </si>
  <si>
    <t>Collections curve (months 0-3)</t>
  </si>
  <si>
    <t>18% / 46% / 28% / 8%</t>
  </si>
  <si>
    <t>share of billings</t>
  </si>
  <si>
    <t>config: cash.collections_curve, consistent with the 42-day DSO</t>
  </si>
  <si>
    <t>Cash at 30 June 2026</t>
  </si>
  <si>
    <t>USD</t>
  </si>
  <si>
    <t>config: cash.cash_2026_06 -- the single cash anchor the source data supports</t>
  </si>
  <si>
    <t>Approved FY2027 average monthly burn</t>
  </si>
  <si>
    <t>USD / month</t>
  </si>
  <si>
    <t>fct_cash_runway_policy -- the approved planning burn used as the LEVEL; the operating cash proxy supplies deltas only</t>
  </si>
  <si>
    <t>fct_cash_runway_policy.board_runway_floor_months</t>
  </si>
  <si>
    <t>Sales annual attrition (planning rate)</t>
  </si>
  <si>
    <t>rate / year</t>
  </si>
  <si>
    <t>config: sales_reps.annual_attrition -- the stated policy rate, not the generated historical series</t>
  </si>
  <si>
    <t>Backfill rate</t>
  </si>
  <si>
    <t>share of departures</t>
  </si>
  <si>
    <t>config: requisitions.backfill_rate -- headcount decays net of backfill; Sales CAPACITY deliberately decays gross</t>
  </si>
  <si>
    <t>Materiality threshold (absolute)</t>
  </si>
  <si>
    <t>config/commentary_rules.yml -- this project's own documented reporting convention; PHASE1_SPEC does not define one</t>
  </si>
  <si>
    <t>Materiality threshold (percentage)</t>
  </si>
  <si>
    <t>share of Budget</t>
  </si>
  <si>
    <t>config/commentary_rules.yml -- a metric is material if it clears either bar</t>
  </si>
  <si>
    <t>Executive Summary commentary items</t>
  </si>
  <si>
    <t>count</t>
  </si>
  <si>
    <t>config/commentary_rules.yml: commentary.max_executive_summary_items</t>
  </si>
  <si>
    <t>Type legend -- Frozen Phase 1: fixed by the specification and never edited to make a build pass. Historical derivation: computed from actuals. Management assumption: a judgement, shown in amber. Accounting policy: the entity's own frozen policy.</t>
  </si>
  <si>
    <t>Materiality and priority thresholds are this project's own documented management reporting convention. PHASE1_SPEC stops at the Phase 6 reforecast and does not define bridge-commentary materiality, so these are stated plainly rather than implied to be Board-approved policy.</t>
  </si>
  <si>
    <t>Source: config/assumptions.yml, config/commentary_rules.yml, int_forecast_drivers, fct_cash_runway_policy.</t>
  </si>
  <si>
    <t>Q2 FY2026 Reforecast -- controls and traceability</t>
  </si>
  <si>
    <t>OVERALL STATUS</t>
  </si>
  <si>
    <t>Upstream analytical controls</t>
  </si>
  <si>
    <t>A control passes if and only if its query returns zero rows. Every one is re-run on every build of the analytical layer, and a violation fails the build before any mart is exported.</t>
  </si>
  <si>
    <t>Control</t>
  </si>
  <si>
    <t>Phase</t>
  </si>
  <si>
    <t>What it enforces</t>
  </si>
  <si>
    <t>Violations</t>
  </si>
  <si>
    <t>Status</t>
  </si>
  <si>
    <t>ctl_arr_reconciliation</t>
  </si>
  <si>
    <t>Phase 3</t>
  </si>
  <si>
    <t>ARR waterfall reconciliation, customer / segment / company grain, product-grain tie</t>
  </si>
  <si>
    <t>PASS</t>
  </si>
  <si>
    <t>ctl_retention_bounds</t>
  </si>
  <si>
    <t>Phase 4</t>
  </si>
  <si>
    <t>Retention bounds, GRR cap, cohort integrity, ATR and renewal-outcome ties</t>
  </si>
  <si>
    <t>ctl_gtm_controls</t>
  </si>
  <si>
    <t>Phase 5</t>
  </si>
  <si>
    <t>Capacity, ramp, pipeline, win-rate, CRM-to-ARR bridge and cost-allocation checks</t>
  </si>
  <si>
    <t>ctl_forecast_controls</t>
  </si>
  <si>
    <t>Phase 6</t>
  </si>
  <si>
    <t>Actual preservation, forecast cutover, ARR / headcount / cash rollforwards, scenarios</t>
  </si>
  <si>
    <t>ctl_bridge_commentary</t>
  </si>
  <si>
    <t>Phase 7</t>
  </si>
  <si>
    <t>Every bridge reconciles with no plug; commentary evidence, materiality and polarity</t>
  </si>
  <si>
    <t>ctl_accounting_enhancements</t>
  </si>
  <si>
    <t>Phase 8</t>
  </si>
  <si>
    <t>Deferred-revenue and commission-asset rollforwards, GL ties, frozen Phase 6 unchanged</t>
  </si>
  <si>
    <t>Source: ctl_control_results.csv, written by src/run_sql.py on every build of the analytical layer.</t>
  </si>
  <si>
    <t>Workbook-level checks</t>
  </si>
  <si>
    <t>Checks on this artifact rather than on the analytical layer. Every one is also asserted independently by src/validate_excel_model.py and tests/test_excel_model.py.</t>
  </si>
  <si>
    <t>Check</t>
  </si>
  <si>
    <t>Workbook version</t>
  </si>
  <si>
    <t>1.0</t>
  </si>
  <si>
    <t>Build timestamp (UTC)</t>
  </si>
  <si>
    <t>2026-08-27 05:16 UTC</t>
  </si>
  <si>
    <t>Source reporting date</t>
  </si>
  <si>
    <t>Forecast cutover</t>
  </si>
  <si>
    <t>Jan-Jun 2026 actual, Jul-Dec 2026 Base reforecast</t>
  </si>
  <si>
    <t>Source marts read</t>
  </si>
  <si>
    <t>32 committed CSV extracts</t>
  </si>
  <si>
    <t>External workbook links</t>
  </si>
  <si>
    <t>None -- every value is embedded</t>
  </si>
  <si>
    <t>Macros / VBA</t>
  </si>
  <si>
    <t>None -- .xlsx, not .xlsm</t>
  </si>
  <si>
    <t>Workbook protection</t>
  </si>
  <si>
    <t>None -- formulas and data are inspectable</t>
  </si>
  <si>
    <t>$0.00 against a $1.00 tolerance</t>
  </si>
  <si>
    <t>Largest deferred-revenue rollforward residual</t>
  </si>
  <si>
    <t>$0.00</t>
  </si>
  <si>
    <t>Formula recalculation</t>
  </si>
  <si>
    <t>Full deterministic management commentary</t>
  </si>
  <si>
    <t>Supporting data sheets are hidden, not protected and never veryHidden: right-click any tab and choose Unhide to inspect every table this workbook reads. The workbook carries no password, no macros and no external links.</t>
  </si>
  <si>
    <t>month_end_date</t>
  </si>
  <si>
    <t>month_label</t>
  </si>
  <si>
    <t>segment</t>
  </si>
  <si>
    <t>period_type</t>
  </si>
  <si>
    <t>beginning_arr</t>
  </si>
  <si>
    <t>new_logo_arr</t>
  </si>
  <si>
    <t>expansion_arr</t>
  </si>
  <si>
    <t>reactivation_arr</t>
  </si>
  <si>
    <t>contraction_arr</t>
  </si>
  <si>
    <t>churn_arr</t>
  </si>
  <si>
    <t>net_new_arr</t>
  </si>
  <si>
    <t>ending_arr</t>
  </si>
  <si>
    <t>jun_2026_actual_arr</t>
  </si>
  <si>
    <t>dec_2026_base_arr</t>
  </si>
  <si>
    <t>h2_2026_net_new_arr</t>
  </si>
  <si>
    <t>share_of_dec_2026_arr</t>
  </si>
  <si>
    <t>cohort_customers</t>
  </si>
  <si>
    <t>cohort_beginning_arr</t>
  </si>
  <si>
    <t>nrr</t>
  </si>
  <si>
    <t>grr</t>
  </si>
  <si>
    <t>logo_retention</t>
  </si>
  <si>
    <t>renewal_quarter</t>
  </si>
  <si>
    <t>contracts</t>
  </si>
  <si>
    <t>atr_arr</t>
  </si>
  <si>
    <t>Dec-24</t>
  </si>
  <si>
    <t>quota_carrying_reps</t>
  </si>
  <si>
    <t>expected_attainment</t>
  </si>
  <si>
    <t>new_logo_share_of_bookings</t>
  </si>
  <si>
    <t>theoretical_quota_capacity</t>
  </si>
  <si>
    <t>blended_productive_capacity</t>
  </si>
  <si>
    <t>new_logo_productive_capacity</t>
  </si>
  <si>
    <t>actual_bookings</t>
  </si>
  <si>
    <t>h2_capacity_supported_arr</t>
  </si>
  <si>
    <t>h2_pipeline_supported_arr</t>
  </si>
  <si>
    <t>h2_constrained_new_logo_arr</t>
  </si>
  <si>
    <t>primary_binding_constraint</t>
  </si>
  <si>
    <t>h2_segment_months</t>
  </si>
  <si>
    <t>h2_pipeline_bound_months</t>
  </si>
  <si>
    <t>h2_capacity_bound_months</t>
  </si>
  <si>
    <t>pipeline_share_of_h2_months</t>
  </si>
  <si>
    <t>budget_new_logo_arr</t>
  </si>
  <si>
    <t>base_new_logo_arr</t>
  </si>
  <si>
    <t>new_logo_arr_variance</t>
  </si>
  <si>
    <t>theoretical_capacity</t>
  </si>
  <si>
    <t>blended_capacity</t>
  </si>
  <si>
    <t>new_logo_capacity</t>
  </si>
  <si>
    <t>pipeline_supported_bookings</t>
  </si>
  <si>
    <t>constrained_new_logo_arr</t>
  </si>
  <si>
    <t>binding_constraint</t>
  </si>
  <si>
    <t>closed_won</t>
  </si>
  <si>
    <t>closed_lost</t>
  </si>
  <si>
    <t>win_rate</t>
  </si>
  <si>
    <t>required_pipeline_per_dollar</t>
  </si>
  <si>
    <t>median_sales_cycle_days</t>
  </si>
  <si>
    <t>mean_sales_cycle_days</t>
  </si>
  <si>
    <t>new_logos</t>
  </si>
  <si>
    <t>acquisition_sm_lagged</t>
  </si>
  <si>
    <t>gross_margin_pct</t>
  </si>
  <si>
    <t>new_logo_arpa</t>
  </si>
  <si>
    <t>cac</t>
  </si>
  <si>
    <t>cac_per_dollar_new_logo_arr</t>
  </si>
  <si>
    <t>cac_payback_months</t>
  </si>
  <si>
    <t>fiscal_quarter</t>
  </si>
  <si>
    <t>prior_quarter_sm</t>
  </si>
  <si>
    <t>net_arr_sales_efficiency</t>
  </si>
  <si>
    <t>magic_number</t>
  </si>
  <si>
    <t>expected_close_quarter</t>
  </si>
  <si>
    <t>deal_type</t>
  </si>
  <si>
    <t>opportunities</t>
  </si>
  <si>
    <t>unweighted_acv</t>
  </si>
  <si>
    <t>weighted_acv</t>
  </si>
  <si>
    <t>Pipeline</t>
  </si>
  <si>
    <t>Capacity</t>
  </si>
  <si>
    <t>Renewal Uplift</t>
  </si>
  <si>
    <t>line_key</t>
  </si>
  <si>
    <t>line_item</t>
  </si>
  <si>
    <t>line_kind</t>
  </si>
  <si>
    <t>unit</t>
  </si>
  <si>
    <t>fy2025_actual</t>
  </si>
  <si>
    <t>h1_2026_actual</t>
  </si>
  <si>
    <t>h2_2026_base</t>
  </si>
  <si>
    <t>fy2026_base</t>
  </si>
  <si>
    <t>fy2026_budget</t>
  </si>
  <si>
    <t>polarity</t>
  </si>
  <si>
    <t>subscription_revenue</t>
  </si>
  <si>
    <t>services_revenue</t>
  </si>
  <si>
    <t>total_revenue</t>
  </si>
  <si>
    <t>subscription_cogs</t>
  </si>
  <si>
    <t>services_cogs</t>
  </si>
  <si>
    <t>total_cogs</t>
  </si>
  <si>
    <t>gross_profit</t>
  </si>
  <si>
    <t>sales_marketing</t>
  </si>
  <si>
    <t>research_development</t>
  </si>
  <si>
    <t>general_administrative</t>
  </si>
  <si>
    <t>total_opex</t>
  </si>
  <si>
    <t>operating_income</t>
  </si>
  <si>
    <t>operating_margin_pct</t>
  </si>
  <si>
    <t>function</t>
  </si>
  <si>
    <t>ending_headcount</t>
  </si>
  <si>
    <t>detail</t>
  </si>
  <si>
    <t>usd</t>
  </si>
  <si>
    <t>higher_favorable</t>
  </si>
  <si>
    <t>subtotal</t>
  </si>
  <si>
    <t>lower_favorable</t>
  </si>
  <si>
    <t>total</t>
  </si>
  <si>
    <t>margin</t>
  </si>
  <si>
    <t>pct</t>
  </si>
  <si>
    <t>line_order</t>
  </si>
  <si>
    <t>driver_category</t>
  </si>
  <si>
    <t>amount</t>
  </si>
  <si>
    <t>running_balance</t>
  </si>
  <si>
    <t>residual</t>
  </si>
  <si>
    <t>chart_invisible</t>
  </si>
  <si>
    <t>chart_total</t>
  </si>
  <si>
    <t>chart_increase</t>
  </si>
  <si>
    <t>chart_decrease</t>
  </si>
  <si>
    <t>category</t>
  </si>
  <si>
    <t>revenue_line</t>
  </si>
  <si>
    <t>metric</t>
  </si>
  <si>
    <t>metric_label</t>
  </si>
  <si>
    <t>period</t>
  </si>
  <si>
    <t>budget_amount</t>
  </si>
  <si>
    <t>base_amount</t>
  </si>
  <si>
    <t>variance</t>
  </si>
  <si>
    <t>variance_pct</t>
  </si>
  <si>
    <t>favorable_unfavorable</t>
  </si>
  <si>
    <t>rank_abs_variance</t>
  </si>
  <si>
    <t>materiality_flag</t>
  </si>
  <si>
    <t>source_model</t>
  </si>
  <si>
    <t>budget_grain</t>
  </si>
  <si>
    <t>anchor</t>
  </si>
  <si>
    <t>Dec-2026</t>
  </si>
  <si>
    <t>fte</t>
  </si>
  <si>
    <t>N/A</t>
  </si>
  <si>
    <t>contextual</t>
  </si>
  <si>
    <t>int_budget_reforecast_comparison</t>
  </si>
  <si>
    <t>source</t>
  </si>
  <si>
    <t>Budget General &amp; Administrative</t>
  </si>
  <si>
    <t>opening_arr</t>
  </si>
  <si>
    <t>component</t>
  </si>
  <si>
    <t>gross_margin_bps</t>
  </si>
  <si>
    <t>Gross Margin</t>
  </si>
  <si>
    <t>bps</t>
  </si>
  <si>
    <t>Favorable</t>
  </si>
  <si>
    <t>fct_gross_profit_bridge</t>
  </si>
  <si>
    <t>Payroll impact</t>
  </si>
  <si>
    <t>new_logo</t>
  </si>
  <si>
    <t>Unfavorable</t>
  </si>
  <si>
    <t>Non-payroll run-rate impact</t>
  </si>
  <si>
    <t>expansion</t>
  </si>
  <si>
    <t>exit_arr</t>
  </si>
  <si>
    <t>fct_arr_budget_bridge</t>
  </si>
  <si>
    <t>Base General &amp; Administrative</t>
  </si>
  <si>
    <t>reactivation</t>
  </si>
  <si>
    <t>result</t>
  </si>
  <si>
    <t>Budget Research &amp; Development</t>
  </si>
  <si>
    <t>contraction</t>
  </si>
  <si>
    <t>churn</t>
  </si>
  <si>
    <t>Revenue</t>
  </si>
  <si>
    <t>Base Research &amp; Development</t>
  </si>
  <si>
    <t>fct_operating_income_bridge</t>
  </si>
  <si>
    <t>allocated</t>
  </si>
  <si>
    <t>Budget Sales &amp; Marketing</t>
  </si>
  <si>
    <t>Base Sales &amp; Marketing</t>
  </si>
  <si>
    <t>scenario</t>
  </si>
  <si>
    <t>dec_2026_exit_arr</t>
  </si>
  <si>
    <t>fy2026_revenue</t>
  </si>
  <si>
    <t>fy2026_operating_income</t>
  </si>
  <si>
    <t>dec_2027_exit_arr</t>
  </si>
  <si>
    <t>dec_2026_cash</t>
  </si>
  <si>
    <t>dec_2027_cash</t>
  </si>
  <si>
    <t>policy_avg_monthly_burn</t>
  </si>
  <si>
    <t>policy_runway_months</t>
  </si>
  <si>
    <t>headroom_months</t>
  </si>
  <si>
    <t>board_runway_floor_months</t>
  </si>
  <si>
    <t>breaches_floor</t>
  </si>
  <si>
    <t>win_rate_multiplier</t>
  </si>
  <si>
    <t>attainment_multiplier</t>
  </si>
  <si>
    <t>pipeline_creation_multiplier</t>
  </si>
  <si>
    <t>retention_severity_multiplier</t>
  </si>
  <si>
    <t>expansion_multiplier</t>
  </si>
  <si>
    <t>driver_name</t>
  </si>
  <si>
    <t>source_type</t>
  </si>
  <si>
    <t>All</t>
  </si>
  <si>
    <t>management_assumption</t>
  </si>
  <si>
    <t>monthly_rate_of_beginning_arr</t>
  </si>
  <si>
    <t>historical</t>
  </si>
  <si>
    <t>services_cogs_pct_of_revenue</t>
  </si>
  <si>
    <t>subscription_cogs_pct_of_revenue</t>
  </si>
  <si>
    <t>opex</t>
  </si>
  <si>
    <t>payroll_cost_per_fte_monthly</t>
  </si>
  <si>
    <t>usd_per_month</t>
  </si>
  <si>
    <t>Jan-27</t>
  </si>
  <si>
    <t>Feb-27</t>
  </si>
  <si>
    <t>Mar-27</t>
  </si>
  <si>
    <t>Apr-27</t>
  </si>
  <si>
    <t>May-27</t>
  </si>
  <si>
    <t>Jun-27</t>
  </si>
  <si>
    <t>pipeline</t>
  </si>
  <si>
    <t>creation_monthly_acv</t>
  </si>
  <si>
    <t>Jul-27</t>
  </si>
  <si>
    <t>Aug-27</t>
  </si>
  <si>
    <t>Sep-27</t>
  </si>
  <si>
    <t>creation_to_close_lag_months</t>
  </si>
  <si>
    <t>Oct-27</t>
  </si>
  <si>
    <t>Nov-27</t>
  </si>
  <si>
    <t>Dec-27</t>
  </si>
  <si>
    <t>monthly_arr</t>
  </si>
  <si>
    <t>retention</t>
  </si>
  <si>
    <t>baseline_nonatr_churn_monthly</t>
  </si>
  <si>
    <t>baseline_nonatr_contraction_monthly</t>
  </si>
  <si>
    <t>churn_share_of_atr</t>
  </si>
  <si>
    <t>contraction_share_of_atr</t>
  </si>
  <si>
    <t>path</t>
  </si>
  <si>
    <t>view</t>
  </si>
  <si>
    <t>label</t>
  </si>
  <si>
    <t>opening_cash</t>
  </si>
  <si>
    <t>breaches_floor_flag</t>
  </si>
  <si>
    <t>case_label</t>
  </si>
  <si>
    <t>cumulative_hires</t>
  </si>
  <si>
    <t>h2_2026_new_logo_capacity</t>
  </si>
  <si>
    <t>dec_2027_incremental_arr</t>
  </si>
  <si>
    <t>dec_2027_incremental_operating_income</t>
  </si>
  <si>
    <t>dec_2027_incremental_cash</t>
  </si>
  <si>
    <t>dec_2026_incremental_arr</t>
  </si>
  <si>
    <t>dec_2026_incremental_cash</t>
  </si>
  <si>
    <t>No Incremental GTM Hiring</t>
  </si>
  <si>
    <t>Base_Targeted</t>
  </si>
  <si>
    <t>Base_FullClose</t>
  </si>
  <si>
    <t>bookings_tcv</t>
  </si>
  <si>
    <t>bookings_acv</t>
  </si>
  <si>
    <t>subscription_billings</t>
  </si>
  <si>
    <t>contract_analytical_revenue</t>
  </si>
  <si>
    <t>gl_subscription_revenue</t>
  </si>
  <si>
    <t>ending_deferred_revenue</t>
  </si>
  <si>
    <t>ending_unbilled_receivable</t>
  </si>
  <si>
    <t>beginning_deferred_revenue</t>
  </si>
  <si>
    <t>billings</t>
  </si>
  <si>
    <t>revenue_recognised</t>
  </si>
  <si>
    <t>unbilled_receivable_movement</t>
  </si>
  <si>
    <t>rollforward_residual</t>
  </si>
  <si>
    <t>basis</t>
  </si>
  <si>
    <t>beginning_commission_asset</t>
  </si>
  <si>
    <t>commission_earned</t>
  </si>
  <si>
    <t>immediate_expense</t>
  </si>
  <si>
    <t>capitalised_commission</t>
  </si>
  <si>
    <t>commission_amortisation</t>
  </si>
  <si>
    <t>gaap_commission_expense</t>
  </si>
  <si>
    <t>commission_paid_cash</t>
  </si>
  <si>
    <t>ending_commission_asset</t>
  </si>
  <si>
    <t>commission_accounting_adjustment</t>
  </si>
  <si>
    <t>phase6_total_revenue</t>
  </si>
  <si>
    <t>adjustment_pct_of_revenue</t>
  </si>
  <si>
    <t>largest_monthly_adjustment</t>
  </si>
  <si>
    <t>Forward projection</t>
  </si>
  <si>
    <t>exec_rank</t>
  </si>
  <si>
    <t>commentary_id</t>
  </si>
  <si>
    <t>priority</t>
  </si>
  <si>
    <t>section</t>
  </si>
  <si>
    <t>headline</t>
  </si>
  <si>
    <t>supporting_evidence</t>
  </si>
  <si>
    <t>management_implication</t>
  </si>
  <si>
    <t>materiality_score</t>
  </si>
  <si>
    <t>Critical</t>
  </si>
  <si>
    <t>Runway</t>
  </si>
  <si>
    <t>Bear policy runway falls below the 24-month Board floor, while Base and Bull remain above it.</t>
  </si>
  <si>
    <t>Base policy runway is 25.6 months (1.6 months of headroom). Bear policy runway is 23.5 months (breaches the floor by 0.5 months). Bull policy runway is 28.3 months. Full Capacity-Close hiring runs at 24.7 months (0.7 months of headroom) -- technically affordable but on materially thinner headroom than Base.</t>
  </si>
  <si>
    <t>fct_cash_runway_policy is a level-plus-delta sensitivity on the approved FY2027 average burn anchor, not a monthly cash-flow-statement build.</t>
  </si>
  <si>
    <t>A Bear operating scenario would breach the Board's 24-month runway floor on the current cost base; this is a scenario risk to monitor, not the Base-case plan.</t>
  </si>
  <si>
    <t>fct_cash_runway_policy</t>
  </si>
  <si>
    <t>High</t>
  </si>
  <si>
    <t>ARR</t>
  </si>
  <si>
    <t>FY2026 New Logo ARR is $2.79M below Budget.</t>
  </si>
  <si>
    <t>Pipeline is the binding constraint on New Logo ARR in H2 2026 (15 of 18 segment-months pipeline-bound, 3 capacity-bound). Pipeline-supported bookings total $1.22M against capacity-supported bookings of $2.92M over the same window.</t>
  </si>
  <si>
    <t>H2 2026 realised (constrained) New Logo ARR: $1.18M.</t>
  </si>
  <si>
    <t>Additional sales capacity alone would not close this gap while pipeline remains the binding constraint; pipeline creation and conversion are the more relevant levers.</t>
  </si>
  <si>
    <t>fct_new_logo_diagnosis</t>
  </si>
  <si>
    <t>Dec-2026 Exit ARR is $2.77M below Budget.</t>
  </si>
  <si>
    <t>The largest unfavorable driver is New Logo ARR variance at $2.79M unfavorable to Budget. Contraction ARR variance is another material unfavorable driver at $1.22M. This is partly offset by Expansion ARR variance at $1.54M favorable.</t>
  </si>
  <si>
    <t>Pipeline is the binding New Logo constraint in 15 of 18 H2 2026 segment-months (Pipeline-bound overall).</t>
  </si>
  <si>
    <t>Near-term ARR growth depends more on pipeline creation and conversion than on adding quota capacity.</t>
  </si>
  <si>
    <t>Hiring</t>
  </si>
  <si>
    <t>hiring_decision</t>
  </si>
  <si>
    <t>Full Capacity-Close hiring (4 hires) is affordable against the Board's 24-month runway floor: 24.7 months (0.7 months of headroom). Targeted / Runway-Constrained hiring computes to 0 incremental hires.</t>
  </si>
  <si>
    <t>On the FY2027 fuller-ramp decision horizon, Full Capacity-Close is projected to add $147,322 of incremental ARR by Dec-2027, at a cumulative incremental cash cost of $637,083 and an incremental operating income of -$31,367 that month (still negative) -- this is the view management should use to judge economic attractiveness, not the ramp-period snapshot. Near-term Dec-2026 ramp impact (hires start Oct-2026, so this is a snapshot only weeks into ramp): $467 of incremental ARR at an incremental cash cost of $139,065.</t>
  </si>
  <si>
    <t>Pipeline binds New Logo ARR in 15 of 18 H2 2026 segment-months company-wide.</t>
  </si>
  <si>
    <t>Affordability and attractiveness are separate questions: Full Capacity-Close is affordable, but pipeline -- not capacity -- is the binding constraint on New Logo ARR, which weakens the case for incremental hiring ahead of pipeline improvement -- even on the fuller FY2027 ramp view, incremental operating income remains negative. Targeted hiring reflects this: it computes to hires only where forward capacity would trail pipeline, which is nowhere in the current data.</t>
  </si>
  <si>
    <t>fct_hiring_scenario</t>
  </si>
  <si>
    <t>Medium</t>
  </si>
  <si>
    <t>segment_arr</t>
  </si>
  <si>
    <t>SMB Exit ARR is $2.00M below its allocated share of the company Budget, the largest segment-level ARR gap against the allocated Budget proxy.</t>
  </si>
  <si>
    <t>The largest driver within SMB is New Logo ARR variance at $0.98M unfavorable to the allocated Budget proxy.</t>
  </si>
  <si>
    <t>Segment bridge detail (Budget allocated by FY2025 mix, Base segment-native) is in fct_arr_budget_bridge.</t>
  </si>
  <si>
    <t>Segment-level Budget figures are allocated from the company plan (fact_budget carries no segment grain), not an independently Board-approved segment target; read this alongside the segment-native Base figures and do not treat it with the same weight as a source-grain company variance.</t>
  </si>
  <si>
    <t>OpEx</t>
  </si>
  <si>
    <t>FY2026 OpEx is $0.87M above Budget.</t>
  </si>
  <si>
    <t>The variance is primarily Payroll impact (all categories) at $2.41M unfavorable to Budget.</t>
  </si>
  <si>
    <t>Category-level detail (Sales &amp; Marketing / R&amp;D / G&amp;A, each split payroll / commissions / non-payroll) is in fct_opex_budget_bridge.</t>
  </si>
  <si>
    <t>Cost detail is provided for review; this report does not recommend a cost reduction based on the OpEx variance alone.</t>
  </si>
  <si>
    <t>fct_opex_budget_bridge</t>
  </si>
  <si>
    <t>FY2026 Revenue is $0.84M below Budget.</t>
  </si>
  <si>
    <t>The largest single driver is Subscription: ARR / recurring-base effect at $0.43M unfavorable to Budget.</t>
  </si>
  <si>
    <t>Revenue decomposition ties to the ARR bridge: see fct_arr_budget_bridge for the underlying New Logo / Expansion / retention movements.</t>
  </si>
  <si>
    <t>Revenue is a lagged function of ARR; a revenue shortfall driven by the ARR / recurring-base effect will persist into FY2027 unless the underlying ARR gap closes.</t>
  </si>
  <si>
    <t>fct_revenue_budget_bridge</t>
  </si>
  <si>
    <t>Profitability</t>
  </si>
  <si>
    <t>FY2026 Gross Profit is $0.78M above Budget despite lower Revenue.</t>
  </si>
  <si>
    <t>Gross margin is 429 bps above Budget. Favorable Subscription COGS (+$1.66M) more than offsets the smaller unfavorable Services COGS variance (-$0.04M). Revenue itself ran $0.84M below Budget over the same period.</t>
  </si>
  <si>
    <t>COGS driver detail (payroll vs. non-payroll, by Subscription/Services) is in fct_gross_profit_bridge.</t>
  </si>
  <si>
    <t>The margin improvement traces to lower Subscription cost of revenue, which more than offsets a smaller unfavorable Services COGS variance; it is not a revenue mix shift.</t>
  </si>
  <si>
    <t>Dec-2026 Ending Headcount is 3.7 FTE above Budget.</t>
  </si>
  <si>
    <t>fact_budget carries Ending Headcount as a single company-level statistical figure with no functional breakdown, so this variance cannot be bridged by function against Budget; Base's own ending headcount by function is in fct_headcount_budget_bridge.</t>
  </si>
  <si>
    <t>Base headcount build: existing population net-of-backfill attrition plus already-open requisitions across all functions (fill date 31-Aug-2026).</t>
  </si>
  <si>
    <t>Headcount variance is not automatically favorable or unfavorable; read alongside the OpEx payroll driver detail before drawing a conclusion.</t>
  </si>
  <si>
    <t>fct_headcount_budget_bridge</t>
  </si>
  <si>
    <t>arr_bridge</t>
  </si>
  <si>
    <t>Anchor</t>
  </si>
  <si>
    <t>Increase</t>
  </si>
  <si>
    <t>Decrease</t>
  </si>
  <si>
    <t>gp_bridge</t>
  </si>
  <si>
    <t>Subs COGS payroll</t>
  </si>
  <si>
    <t>Subs COGS non-payroll</t>
  </si>
  <si>
    <t>Svcs COGS payroll</t>
  </si>
  <si>
    <t>Svcs COGS non-payroll</t>
  </si>
  <si>
    <t>opex_bridge</t>
  </si>
  <si>
    <t>Payroll</t>
  </si>
  <si>
    <t>Commissions</t>
  </si>
  <si>
    <t>Non-payroll</t>
  </si>
  <si>
    <t>oi_bridge</t>
  </si>
  <si>
    <t>Budget Operating Income /</t>
  </si>
  <si>
    <t>Subscription rev</t>
  </si>
  <si>
    <t>Services rev</t>
  </si>
  <si>
    <t>Subs COGS</t>
  </si>
  <si>
    <t>Svcs COGS</t>
  </si>
  <si>
    <t>S&amp;M</t>
  </si>
  <si>
    <t>R&amp;D</t>
  </si>
  <si>
    <t>Base Operating Income /</t>
  </si>
  <si>
    <t>budget_vs_base</t>
  </si>
  <si>
    <t>Board Budget</t>
  </si>
  <si>
    <t>runway</t>
  </si>
  <si>
    <t>24-month Board floor</t>
  </si>
  <si>
    <t>arr_movement</t>
  </si>
  <si>
    <t>gtm_constraint</t>
  </si>
  <si>
    <t>New Logo capacity</t>
  </si>
  <si>
    <t>Pipeline-supported</t>
  </si>
  <si>
    <t>Achievable New Logo ARR</t>
  </si>
  <si>
    <t>scenario_trajectory</t>
  </si>
  <si>
    <t>hiring</t>
  </si>
  <si>
    <t>Incremental Dec-2027 ARR</t>
  </si>
  <si>
    <t>Incremental cash consumed</t>
  </si>
  <si>
    <t>No incremental</t>
  </si>
  <si>
    <t>Targeted</t>
  </si>
  <si>
    <t>Scenario measure</t>
  </si>
  <si>
    <t>Measure</t>
  </si>
  <si>
    <t>Workbook v1.1 portfolio build  |  Excel-calculated 2026-09-04 20:15 UTC  |  source: data/marts (Phase 3-8 analytical layer, frozen)</t>
  </si>
  <si>
    <t>FY2026 Operating Model — Q2 Reforecast</t>
  </si>
  <si>
    <t>The question this model answers</t>
  </si>
  <si>
    <t>Can Helio fund additional sales capacity to re-accelerate growth without breaching its 24-month minimum cash-runway requirement?</t>
  </si>
  <si>
    <t>The model's answer, in one line</t>
  </si>
  <si>
    <t>How the model flows</t>
  </si>
  <si>
    <t>P&amp;L</t>
  </si>
  <si>
    <t>Reading the workbook</t>
  </si>
  <si>
    <t>Convention</t>
  </si>
  <si>
    <t>What it means</t>
  </si>
  <si>
    <t>Management assumption — a value a human chose. All of them are on the Assumptions tab.</t>
  </si>
  <si>
    <t>Calculation — a formula in this workbook, auditable by clicking the cell.</t>
  </si>
  <si>
    <t>Actual period — reported results through 30 June 2026.</t>
  </si>
  <si>
    <t>Forecast period — Base reforecast, July to December 2026.</t>
  </si>
  <si>
    <t>Key output — a total, subtotal or headline figure.</t>
  </si>
  <si>
    <t>Control passed. Red on pale red marks a failure; nothing else in the workbook is red.</t>
  </si>
  <si>
    <t>Supporting data sits on ten hidden Data_* sheets holding 36 Excel Tables. Every figure on a presentation tab is either a formula into one of those tables or an imported mart value shown under the period shading above.</t>
  </si>
  <si>
    <t>Where to look</t>
  </si>
  <si>
    <t>Sheet</t>
  </si>
  <si>
    <t>What it answers</t>
  </si>
  <si>
    <t>Where we stand, what changed against Budget, and the decision on the table.</t>
  </si>
  <si>
    <t>Every assumption a reviewer would challenge, with its source and who owns it.</t>
  </si>
  <si>
    <t>Monthly ARR waterfall, TTM NRR/GRR, segment mix and the forward renewal book.</t>
  </si>
  <si>
    <t>Why New Logo ARR misses: capacity versus pipeline versus achievable, plus unit economics.</t>
  </si>
  <si>
    <t>The FY2026 monthly reforecast — actual to June, Base thereafter.</t>
  </si>
  <si>
    <t>FY2026 management P&amp;L, Board Budget against Base reforecast.</t>
  </si>
  <si>
    <t>What moved between Budget and reforecast: ARR, gross profit, OpEx, operating income.</t>
  </si>
  <si>
    <t>Bear / Base / Bull, the five levers behind them and what each does to ARR and runway.</t>
  </si>
  <si>
    <t>Can we afford the hires, and are they worth it — answered separately.</t>
  </si>
  <si>
    <t>Bookings, billings, ARR and revenue reconciled; deferred revenue and commissions.</t>
  </si>
  <si>
    <t>Every reconciliation and control, and whether it passes.</t>
  </si>
  <si>
    <t>Source: 32 committed CSV mart extracts. No macros, no external links, no workbook protection — every formula is inspectable.</t>
  </si>
  <si>
    <t>Executive Summary</t>
  </si>
  <si>
    <t>Assumptions</t>
  </si>
  <si>
    <t>ARR &amp; Retention</t>
  </si>
  <si>
    <t>GTM</t>
  </si>
  <si>
    <t>Forecast</t>
  </si>
  <si>
    <t>Budget Bridge</t>
  </si>
  <si>
    <t>Scenarios</t>
  </si>
  <si>
    <t>Runway &amp; Hiring</t>
  </si>
  <si>
    <t>Accounting</t>
  </si>
  <si>
    <t>Controls</t>
  </si>
  <si>
    <t>← Model Guide</t>
  </si>
  <si>
    <t>Calculated and stored by Microsoft Excel</t>
  </si>
  <si>
    <t>Largest bridge residual (all four bridges)</t>
  </si>
  <si>
    <t>Amount ($K)</t>
  </si>
  <si>
    <t>Running balance ($K)</t>
  </si>
  <si>
    <t>Beginning + billings - revenue + unbilled receivable movement = ending. There are no other lines: no true-up, no rounding line, no plug. The unbilled receivable is carried separately and is never netted into deferred revenue.  Stated in whole dollars so the identity ties exactly.</t>
  </si>
  <si>
    <t>Three numbers, all correct and all different. 41% of earned commission is expensed as incurred and 59% capitalised, amortised straight-line over 36 months -- because renewal commission (3% on uplift alone) is not commensurate with the 9% paid to land, so the initial commission relates to the renewal periods too.  Stated in whole dollars so the schedule ties exactly.</t>
  </si>
  <si>
    <t>Phase 2 reference data. Prepared in Python/SQL from the committed marts and imported; the Excel model calculates on top.</t>
  </si>
  <si>
    <t>Available-to-renew ARR by month and segment (source: fct_renewal_base)</t>
  </si>
  <si>
    <t>Monthly cash drivers by path (source: fct_cash_runway)</t>
  </si>
  <si>
    <t>key</t>
  </si>
  <si>
    <t>collections</t>
  </si>
  <si>
    <t>cash_operating_outflows</t>
  </si>
  <si>
    <t>capex</t>
  </si>
  <si>
    <t>Base|Jul-26</t>
  </si>
  <si>
    <t>Base|Aug-26</t>
  </si>
  <si>
    <t>Base|Sep-26</t>
  </si>
  <si>
    <t>Base|Oct-26</t>
  </si>
  <si>
    <t>Base|Nov-26</t>
  </si>
  <si>
    <t>Base|Dec-26</t>
  </si>
  <si>
    <t>Base_FullClose|Jul-26</t>
  </si>
  <si>
    <t>Base_FullClose|Aug-26</t>
  </si>
  <si>
    <t>Base_FullClose|Sep-26</t>
  </si>
  <si>
    <t>Base_FullClose|Oct-26</t>
  </si>
  <si>
    <t>Base_FullClose|Nov-26</t>
  </si>
  <si>
    <t>Base_FullClose|Dec-26</t>
  </si>
  <si>
    <t>Base_Targeted|Jul-26</t>
  </si>
  <si>
    <t>Base_Targeted|Aug-26</t>
  </si>
  <si>
    <t>Base_Targeted|Sep-26</t>
  </si>
  <si>
    <t>Base_Targeted|Oct-26</t>
  </si>
  <si>
    <t>Base_Targeted|Nov-26</t>
  </si>
  <si>
    <t>Base_Targeted|Dec-26</t>
  </si>
  <si>
    <t>Bear|Jul-26</t>
  </si>
  <si>
    <t>Bear|Aug-26</t>
  </si>
  <si>
    <t>Bear|Sep-26</t>
  </si>
  <si>
    <t>Bear|Oct-26</t>
  </si>
  <si>
    <t>Bear|Nov-26</t>
  </si>
  <si>
    <t>Bear|Dec-26</t>
  </si>
  <si>
    <t>Bull|Jul-26</t>
  </si>
  <si>
    <t>Bull|Aug-26</t>
  </si>
  <si>
    <t>Bull|Sep-26</t>
  </si>
  <si>
    <t>Bull|Oct-26</t>
  </si>
  <si>
    <t>Bull|Nov-26</t>
  </si>
  <si>
    <t>Bull|Dec-26</t>
  </si>
  <si>
    <t>Q2 FY2026 Reforecast -- forecast drivers and the H2 2026 planning engine</t>
  </si>
  <si>
    <t>A.  Scenario selector</t>
  </si>
  <si>
    <t>One switch drives every forecast figure in this workbook. Bear and Bull are management operating scenarios; Base is the Board reforecast.</t>
  </si>
  <si>
    <t>Active scenario</t>
  </si>
  <si>
    <t>&lt;-- change this cell</t>
  </si>
  <si>
    <t>B.  Active scenario drivers</t>
  </si>
  <si>
    <t>Each value is read from the scenario driver table by the selector above, so the drivers and the model can never disagree.</t>
  </si>
  <si>
    <t>Driver</t>
  </si>
  <si>
    <t>Active</t>
  </si>
  <si>
    <t>Scenario / Base</t>
  </si>
  <si>
    <t>Sales attainment vs plan</t>
  </si>
  <si>
    <t>New Logo win rate</t>
  </si>
  <si>
    <t>Pipeline created per month</t>
  </si>
  <si>
    <t>Expansion, % of opening ARR</t>
  </si>
  <si>
    <t>Churn, % of available-to-renew</t>
  </si>
  <si>
    <t>Contraction, % of available-to-renew</t>
  </si>
  <si>
    <t>Churn outside the renewal book</t>
  </si>
  <si>
    <t>Contraction outside the renewal book</t>
  </si>
  <si>
    <t>Source: tbl_scenario_drivers (Phase 6 forecast drivers). Scenario / Base is the ratio this scenario applies to the Base driver.</t>
  </si>
  <si>
    <t>C.  Opening position at 30 June 2026</t>
  </si>
  <si>
    <t>Actual segment ARR at the forecast cutover. Imported from the Phase 3 ARR engine; every forecast month builds from here.</t>
  </si>
  <si>
    <t>Jun-26 ARR</t>
  </si>
  <si>
    <t>Total opening ARR</t>
  </si>
  <si>
    <t>D.  Sales capacity and pipeline -- what New Logo ARR is allowed to be</t>
  </si>
  <si>
    <t>New Logo productive capacity</t>
  </si>
  <si>
    <t>Constrained New Logo ARR</t>
  </si>
  <si>
    <t>E.  Monthly ARR build -- Jul to Dec 2026</t>
  </si>
  <si>
    <t>Opening ARR plus New Logo, Expansion and Reactivation, less Contraction and Churn. Contraction and churn are a share of the contractual renewal book (available-to-renew) in each month, not a rate on total ARR.</t>
  </si>
  <si>
    <t>ARR movement</t>
  </si>
  <si>
    <t>Expansion ARR</t>
  </si>
  <si>
    <t>% of opening segment ARR</t>
  </si>
  <si>
    <t>Reactivation ARR</t>
  </si>
  <si>
    <t>flat monthly rate</t>
  </si>
  <si>
    <t>Contraction ARR</t>
  </si>
  <si>
    <t>share of renewal book</t>
  </si>
  <si>
    <t>Churn ARR</t>
  </si>
  <si>
    <t>Source: tbl_renewal_monthly (contract renewal book) and the active drivers above. Contraction and churn are stored negative so Ending ARR is a plain sum.</t>
  </si>
  <si>
    <t>F.  Revenue build -- ARR converted to recognised revenue</t>
  </si>
  <si>
    <t>Subscription revenue recognises 55% of the prior month's exit ARR and 45% of the month before that, divided by twelve -- the ledger's own convention. Services revenue attaches to New Logo ARR at its trailing historical rate.</t>
  </si>
  <si>
    <t>Subscription revenue</t>
  </si>
  <si>
    <t>55% M-1 / 45% M-2 of ARR/12</t>
  </si>
  <si>
    <t>Services revenue</t>
  </si>
  <si>
    <t>attach to New Logo ARR</t>
  </si>
  <si>
    <t>Total revenue</t>
  </si>
  <si>
    <t>Services attach rate (% of New Logo ARR)</t>
  </si>
  <si>
    <t>derived from the Phase 6 reforecast</t>
  </si>
  <si>
    <t>G.  Controls</t>
  </si>
  <si>
    <t>Each control must read PASS. They test the model's own identities, not the data it was built from.</t>
  </si>
  <si>
    <t>What it proves</t>
  </si>
  <si>
    <t>ARR identity</t>
  </si>
  <si>
    <t>Opening + New + Expansion + Reactivation - Contraction - Churn = Ending</t>
  </si>
  <si>
    <t>Revenue identity</t>
  </si>
  <si>
    <t>Subscription revenue + services revenue = total revenue</t>
  </si>
  <si>
    <t>Scenario selector is valid</t>
  </si>
  <si>
    <t>The selected scenario exists in the driver table</t>
  </si>
  <si>
    <t>Base reproduces the approved reforecast</t>
  </si>
  <si>
    <t>With Base selected, Dec-2026 exit ARR equals the Phase 1 figure</t>
  </si>
  <si>
    <t>Source: this sheet. Imported reference data is tbl_scenario_drivers, tbl_gtm_monthly, tbl_renewal_monthly and tbl_arr_monthly; everything else here is an Excel formula.</t>
  </si>
  <si>
    <t>Q2 FY2026 Reforecast -- H2 2026 cash flow and runway</t>
  </si>
  <si>
    <t>A.  Operating result -- from the forecast engine</t>
  </si>
  <si>
    <t>Operating result</t>
  </si>
  <si>
    <t>historical % of subscription revenue</t>
  </si>
  <si>
    <t>delivery headcount, imported</t>
  </si>
  <si>
    <t>Gross profit</t>
  </si>
  <si>
    <t>Gross margin %</t>
  </si>
  <si>
    <t>Total operating expenses</t>
  </si>
  <si>
    <t>headcount-driven, imported</t>
  </si>
  <si>
    <t>Operating income / (loss)</t>
  </si>
  <si>
    <t>Source: Forecast Drivers (revenue) and tbl_pnl_monthly (cost profile, Phase 6).</t>
  </si>
  <si>
    <t>B.  Cash flow -- direct method</t>
  </si>
  <si>
    <t>The project forecasts cash from collections rather than from an indirect working-capital build, because the contract book gives a real billing and collection profile. Collections and cash operating outflows are imported for the selected path; the roll-forward is calculated here.</t>
  </si>
  <si>
    <t>Cash flow</t>
  </si>
  <si>
    <t>Beginning cash</t>
  </si>
  <si>
    <t>Collections</t>
  </si>
  <si>
    <t>cash received from customers</t>
  </si>
  <si>
    <t>Cash operating outflows</t>
  </si>
  <si>
    <t>payroll, vendors, commissions paid</t>
  </si>
  <si>
    <t>Capital expenditure</t>
  </si>
  <si>
    <t>immaterial in this business case</t>
  </si>
  <si>
    <t>Net cash movement</t>
  </si>
  <si>
    <t>Ending cash</t>
  </si>
  <si>
    <t>Source: tbl_cash_schedule (Phase 6 cash engine) for the selected path; opening cash from Assumptions. The roll-forward is calculated on this sheet.</t>
  </si>
  <si>
    <t>C.  Why cash differs from profit</t>
  </si>
  <si>
    <t>The gap between the operating result and the cash movement is the working capital the subscription model creates: customers are billed ahead of recognition, and some costs are capitalised rather than paid as incurred.</t>
  </si>
  <si>
    <t>Reconciliation</t>
  </si>
  <si>
    <t>Billings ahead of revenue, and other working capital</t>
  </si>
  <si>
    <t>collections less revenue</t>
  </si>
  <si>
    <t>Non-cash and timing in operating costs</t>
  </si>
  <si>
    <t>accrued vs paid, capitalised commission</t>
  </si>
  <si>
    <t>D.  Runway</t>
  </si>
  <si>
    <t>Two measures, deliberately kept separate. The Board-policy runway is the approved governance metric and is unchanged from Phase 1. The forecast-cash runway is what this schedule implies at the December exit rate.</t>
  </si>
  <si>
    <t>Basis</t>
  </si>
  <si>
    <t>Floor</t>
  </si>
  <si>
    <t>approved FY2027 average monthly burn</t>
  </si>
  <si>
    <t>Forecast-cash runway</t>
  </si>
  <si>
    <t>Dec-2026 ending cash</t>
  </si>
  <si>
    <t>from the schedule above</t>
  </si>
  <si>
    <t>E.  Controls</t>
  </si>
  <si>
    <t>Cash roll-forward</t>
  </si>
  <si>
    <t>Opening cash + net movement - ending cash = 0, every month</t>
  </si>
  <si>
    <t>Cash continuity</t>
  </si>
  <si>
    <t>Each month opens where the previous month closed</t>
  </si>
  <si>
    <t>Profit-to-cash bridge</t>
  </si>
  <si>
    <t>The reconciliation lands on the cash schedule's net movement</t>
  </si>
  <si>
    <t>Base reproduces the approved cash position</t>
  </si>
  <si>
    <t>With Base selected, Dec-2026 cash equals the Phase 1 figure</t>
  </si>
  <si>
    <t>Data layer</t>
  </si>
  <si>
    <t>Actuals and reference data, prepared in Python/SQL</t>
  </si>
  <si>
    <t>Planning layer</t>
  </si>
  <si>
    <t>Assumptions and the scenario selector, in Excel</t>
  </si>
  <si>
    <t>Model layer</t>
  </si>
  <si>
    <t>ARR -&gt; revenue -&gt; P&amp;L -&gt; cash -&gt; runway, in Excel</t>
  </si>
  <si>
    <t>Reporting</t>
  </si>
  <si>
    <t>Executive Summary, P&amp;L, Scenarios</t>
  </si>
  <si>
    <t>Decision</t>
  </si>
  <si>
    <t>Hire or hold</t>
  </si>
  <si>
    <t>Historical actuals and contract-grain reference data are prepared in Python/SQL and imported. All H2 2026 forecast logic -- ARR, revenue, operating result, cash and runway -- is calculated in Excel on the Forecast Drivers and Cash Flow sheets, driven by one scenario selector.</t>
  </si>
  <si>
    <t>Forecast Drivers</t>
  </si>
  <si>
    <t>The planning engine: scenario selector, drivers, and the H2 2026 ARR and revenue build.</t>
  </si>
  <si>
    <t>Cash Flow</t>
  </si>
  <si>
    <t>Operating result, the cash roll-forward, why cash differs from profit, and runway.</t>
  </si>
  <si>
    <t>Source: tbl_runway_policy (Phase 6 approved methodology, unchanged) and this schedule. The Board-policy metric is the governance test and is the stricter of the two: it uses the approved FY2027 planning burn, which is higher than the H2 2026 run rate, so the forecast-cash view reads longer.</t>
  </si>
  <si>
    <t>Revenue comes from the ARR engine on Forecast Drivers. Subscription COGS holds its historical share of subscription revenue, so it moves with the scenario. Services COGS and OpEx are headcount-driven and do not vary with the operating scenario -- hiring is a separate decision.</t>
  </si>
  <si>
    <t>Dec-2026 cash / H2 average burn</t>
  </si>
  <si>
    <t>Pipeline source</t>
  </si>
  <si>
    <t>Months covered by the CRM pipeline snapshot</t>
  </si>
  <si>
    <t>Jul-26 to Oct-26: fct_pipeline_snapshot holds no New Logo deal closing after 31 Oct 2026</t>
  </si>
  <si>
    <t>Pipeline source this month</t>
  </si>
  <si>
    <t>drives which drivers apply</t>
  </si>
  <si>
    <t>The open CRM pipeline already exists, so the forward pipeline-creation driver does not apply to it -- only the win rate converts it to expected bookings. Months beyond the snapshot are created pipeline, and both drivers apply. This is what makes Bear and Bull tie to the Phase 6 run.</t>
  </si>
  <si>
    <t>New Logo ARR is the LESSER of what the ramped sales team can sell and what the pipeline can support, segment by segment, month by month. The scenario scales capacity by attainment, and pipeline by win rate -- plus pipeline creation, but only for months the CRM snapshot does not already cover.</t>
  </si>
  <si>
    <t>Source: tbl_gtm_monthly (Phase 5 capacity and pipeline, Base) and fct_pipeline_snapshot, scaled by the active scenario ratios above. Reproduces the Phase 6 scenario run for Bear, Base and Bull exactly.</t>
  </si>
  <si>
    <t>Engine ties to the Phase 6 scenario run</t>
  </si>
  <si>
    <t>For the selected scenario, engine exit ARR equals the Phase 6 figure</t>
  </si>
  <si>
    <t>win rate; +creation after snapshot</t>
  </si>
  <si>
    <t>DEC-26 EXIT ARR</t>
  </si>
  <si>
    <t>DEC-26 CASH</t>
  </si>
  <si>
    <t>BOARD-POLICY RUNWAY</t>
  </si>
  <si>
    <t>Headroom vs floor</t>
  </si>
  <si>
    <t>FY2026 Board Budget vs Base reforecast -- metric summary</t>
  </si>
  <si>
    <t>Management read</t>
  </si>
  <si>
    <t>NEW LOGO GAP</t>
  </si>
  <si>
    <t>GROWTH / CASH TRADE-OFF</t>
  </si>
  <si>
    <t>Management decision</t>
  </si>
  <si>
    <t>Can the business fund additional sales capacity without breaching the 24-month runway floor?</t>
  </si>
  <si>
    <t>BASE</t>
  </si>
  <si>
    <t>BEAR</t>
  </si>
  <si>
    <t>FULL CAPACITY-CLOSE</t>
  </si>
  <si>
    <t>Detail: Runway &amp; Hiring (affordability and attractiveness), Scenarios (operating scenarios), Budget Bridge (variance).</t>
  </si>
  <si>
    <t>Cash position -- the decision metric</t>
  </si>
  <si>
    <t>The variance by metric. The four bridges below decompose the Exit ARR, Gross Profit, Total OpEx and Operating Income movements behind it.</t>
  </si>
  <si>
    <t>BOARD-POLICY MONTHLY BURN</t>
  </si>
  <si>
    <t>DEC-2026 ENDING CASH</t>
  </si>
  <si>
    <t>Closing cash for the selected scenario. The Board-policy runway below divides Jun-2026 cash by the approved average monthly burn; section D carries that working and the separate forecast-cash measure.</t>
  </si>
  <si>
    <t>exec_bridge</t>
  </si>
  <si>
    <t>Other movements</t>
  </si>
  <si>
    <t>exec_trajectory</t>
  </si>
  <si>
    <t>The decision  --  Exit ARR to Dec-2027, and the Board Budget it is measured against</t>
  </si>
  <si>
    <t>Board-policy runway vs the 24-month floor</t>
  </si>
  <si>
    <t>Movement</t>
  </si>
  <si>
    <t>FY2026 reforecast      $000 unless stated</t>
  </si>
  <si>
    <t>retention_trend</t>
  </si>
  <si>
    <t>Magic number</t>
  </si>
  <si>
    <t>Net ARR sales efficiency</t>
  </si>
  <si>
    <t>p2c_bridge</t>
  </si>
  <si>
    <t>Operating loss</t>
  </si>
  <si>
    <t>Operating Income</t>
  </si>
  <si>
    <t>scenario_levers</t>
  </si>
  <si>
    <t>Scenario comparison  --  the five levers, and what they do</t>
  </si>
  <si>
    <t>Base is the Board reforecast, so every lever is 1.00x on Base and the axis zero is Base. Bars are each lever's Bear and Bull multiplier measured from there; the widest pair is the lever the plan is most sensitive to. The Executive Summary carries the resulting ARR trajectory.</t>
  </si>
  <si>
    <t>Capacity does not equal achievable bookings  --  Base reforecast, H2 2026</t>
  </si>
  <si>
    <t>Break-even (100%)</t>
  </si>
  <si>
    <t>Billings ahead of revenue</t>
  </si>
  <si>
    <t>Each bar is one lever's multiplier for that scenario, measured from Base. Pipeline creation has the widest spread, so it is the lever the plan is most sensitive to; retention severity is the one that moves the other way.</t>
  </si>
  <si>
    <t>pnl_budget_base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</si>
</sst>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164" formatCode="#,##0;\(#,##0\);&quot;-&quot;"/>
    <numFmt numFmtId="165" formatCode="0.0%;\(0.0%\);&quot;-&quot;"/>
    <numFmt numFmtId="166" formatCode="0.00&quot;x&quot;;\(0.00&quot;x&quot;\);&quot;-&quot;"/>
    <numFmt numFmtId="167" formatCode="#,##0&quot; days&quot;"/>
    <numFmt numFmtId="168" formatCode="#,##0.0&quot; mo&quot;;\(#,##0.0\)&quot; mo&quot;;&quot;-&quot;"/>
    <numFmt numFmtId="169" formatCode="#,##0.00;\(#,##0.00\);&quot;-&quot;"/>
    <numFmt numFmtId="170" formatCode="#,##0.0;\(#,##0.0\);&quot;-&quot;"/>
    <numFmt numFmtId="171" formatCode="0.00%;\(0.00%\);&quot;-&quot;"/>
    <numFmt numFmtId="172" formatCode="0.000"/>
    <numFmt numFmtId="173" formatCode="\+#,##0.0&quot; mo&quot;;\-#,##0.0&quot; mo&quot;;&quot;-&quot;"/>
    <numFmt numFmtId="174" formatCode="\$#,##0.0,,&quot;M&quot;;\(\$#,##0.0,,&quot;M&quot;\);&quot;-&quot;"/>
    <numFmt numFmtId="175" formatCode="\+\$#,##0.0,,&quot;M&quot;;\-\$#,##0.0,,&quot;M&quot;;&quot;-&quot;"/>
    <numFmt numFmtId="176" formatCode="\+0.0%;\-0.0%;&quot;-&quot;"/>
    <numFmt numFmtId="177" formatCode="\+#,##0&quot; bps&quot;;\-#,##0&quot; bps&quot;;&quot;-&quot;"/>
    <numFmt numFmtId="178" formatCode="\+#,##0.0;\-#,##0.0;&quot;-&quot;"/>
    <numFmt numFmtId="179" formatCode="\$#,##0,&quot;K&quot;;\(\$#,##0,&quot;K&quot;\);&quot;-&quot;"/>
    <numFmt numFmtId="180" formatCode="\+\$#,##0,&quot;K&quot;;\-\$#,##0,&quot;K&quot;;&quot;-&quot;"/>
    <numFmt numFmtId="181" formatCode="\$#,##0;\(\$#,##0\);&quot;-&quot;"/>
    <numFmt numFmtId="182" formatCode="#,##0,;\(#,##0,\);&quot;-&quot;"/>
    <numFmt numFmtId="183" formatCode="\+#,##0,;\-#,##0,;&quot;-&quot;"/>
    <numFmt numFmtId="184" formatCode="\+&quot;$&quot;#,##0,&quot;K&quot;;\-&quot;$&quot;#,##0,&quot;K&quot;;&quot;-&quot;"/>
    <numFmt numFmtId="185" formatCode="&quot;$&quot;#,##0,&quot;K&quot;;\(&quot;$&quot;#,##0,&quot;K&quot;\);&quot;-&quot;"/>
    <numFmt numFmtId="186" formatCode="&quot;$&quot;#,##0;\(&quot;$&quot;#,##0\);&quot;-&quot;"/>
    <numFmt numFmtId="187" formatCode="&quot;$&quot;#,##0.0,,&quot;M&quot;;\(&quot;$&quot;#,##0.0,,&quot;M&quot;\);&quot;-&quot;"/>
    <numFmt numFmtId="188" formatCode="0.0&quot; mo&quot;"/>
    <numFmt numFmtId="189" formatCode="&quot;$&quot;#,##0,&quot;K&quot;"/>
    <numFmt numFmtId="190" formatCode="&quot;$&quot;#,##0.0,,&quot;M&quot;"/>
    <numFmt numFmtId="191" formatCode=";;;"/>
  </numFmts>
  <fonts count="66" x14ac:knownFonts="1">
    <font>
      <sz val="11"/>
      <color theme="1"/>
      <name val="Calibri"/>
      <family val="2"/>
      <scheme val="minor"/>
    </font>
    <font>
      <b/>
      <sz val="9"/>
      <color rgb="FFFFFFFF"/>
      <name val="Calibri"/>
    </font>
    <font>
      <sz val="9.5"/>
      <color rgb="FF262626"/>
      <name val="Calibri"/>
    </font>
    <font>
      <sz val="10"/>
      <color rgb="FF262626"/>
      <name val="Calibri"/>
      <family val="2"/>
    </font>
    <font>
      <b/>
      <sz val="9"/>
      <color rgb="FFFFFFFF"/>
      <name val="Calibri"/>
      <family val="2"/>
    </font>
    <font>
      <b/>
      <sz val="12"/>
      <color rgb="FF1F3864"/>
      <name val="Calibri"/>
      <family val="2"/>
    </font>
    <font>
      <b/>
      <sz val="9"/>
      <color rgb="FF595959"/>
      <name val="Calibri"/>
      <family val="2"/>
    </font>
    <font>
      <sz val="9"/>
      <color rgb="FF595959"/>
      <name val="Calibri"/>
      <family val="2"/>
    </font>
    <font>
      <b/>
      <sz val="10"/>
      <color rgb="FF1F3864"/>
      <name val="Calibri"/>
      <family val="2"/>
    </font>
    <font>
      <b/>
      <sz val="18"/>
      <color rgb="FF1F3864"/>
      <name val="Calibri"/>
      <family val="2"/>
    </font>
    <font>
      <b/>
      <sz val="11"/>
      <color rgb="FF2E5E8C"/>
      <name val="Calibri"/>
      <family val="2"/>
    </font>
    <font>
      <sz val="8"/>
      <color rgb="FF595959"/>
      <name val="Calibri"/>
      <family val="2"/>
    </font>
    <font>
      <sz val="9.5"/>
      <color rgb="FF262626"/>
      <name val="Calibri"/>
      <family val="2"/>
    </font>
    <font>
      <b/>
      <sz val="16"/>
      <color rgb="FF1F3864"/>
      <name val="Calibri"/>
      <family val="2"/>
    </font>
    <font>
      <b/>
      <sz val="16"/>
      <color rgb="FF9C1F2E"/>
      <name val="Calibri"/>
      <family val="2"/>
    </font>
    <font>
      <b/>
      <sz val="16"/>
      <color rgb="FF1E6B3A"/>
      <name val="Calibri"/>
      <family val="2"/>
    </font>
    <font>
      <b/>
      <sz val="10"/>
      <color rgb="FF262626"/>
      <name val="Calibri"/>
      <family val="2"/>
    </font>
    <font>
      <b/>
      <sz val="10"/>
      <color rgb="FF7A5B00"/>
      <name val="Calibri"/>
      <family val="2"/>
    </font>
    <font>
      <b/>
      <sz val="9"/>
      <color rgb="FF1F3864"/>
      <name val="Calibri"/>
      <family val="2"/>
    </font>
    <font>
      <b/>
      <sz val="9"/>
      <color rgb="FF9C6516"/>
      <name val="Calibri"/>
      <family val="2"/>
    </font>
    <font>
      <b/>
      <sz val="12"/>
      <color rgb="FF2E5E8C"/>
      <name val="Calibri"/>
      <family val="2"/>
    </font>
    <font>
      <b/>
      <sz val="10"/>
      <color rgb="FF1E6B3A"/>
      <name val="Calibri"/>
      <family val="2"/>
    </font>
    <font>
      <b/>
      <sz val="10"/>
      <color rgb="FF595959"/>
      <name val="Calibri"/>
      <family val="2"/>
    </font>
    <font>
      <b/>
      <sz val="18"/>
      <color rgb="FF1F3864"/>
      <name val="Calibri"/>
      <family val="2"/>
      <scheme val="minor"/>
    </font>
    <font>
      <b/>
      <sz val="11"/>
      <color rgb="FF2E5E8C"/>
      <name val="Calibri"/>
      <family val="2"/>
      <scheme val="minor"/>
    </font>
    <font>
      <sz val="8"/>
      <color rgb="FF595959"/>
      <name val="Calibri"/>
      <family val="2"/>
      <scheme val="minor"/>
    </font>
    <font>
      <b/>
      <sz val="12"/>
      <color rgb="FF1F3864"/>
      <name val="Calibri"/>
      <family val="2"/>
      <scheme val="minor"/>
    </font>
    <font>
      <b/>
      <sz val="11"/>
      <color rgb="FF1F3864"/>
      <name val="Calibri"/>
      <family val="2"/>
      <scheme val="minor"/>
    </font>
    <font>
      <b/>
      <sz val="9"/>
      <color rgb="FF595959"/>
      <name val="Calibri"/>
      <family val="2"/>
      <scheme val="minor"/>
    </font>
    <font>
      <sz val="10"/>
      <color rgb="FF262626"/>
      <name val="Calibri"/>
      <family val="2"/>
      <scheme val="minor"/>
    </font>
    <font>
      <b/>
      <sz val="9"/>
      <color rgb="FF1F3864"/>
      <name val="Calibri"/>
      <family val="2"/>
      <scheme val="minor"/>
    </font>
    <font>
      <b/>
      <sz val="9"/>
      <color rgb="FFFFFFFF"/>
      <name val="Calibri"/>
      <family val="2"/>
      <scheme val="minor"/>
    </font>
    <font>
      <b/>
      <sz val="10"/>
      <color rgb="FF7A5B00"/>
      <name val="Calibri"/>
      <family val="2"/>
      <scheme val="minor"/>
    </font>
    <font>
      <sz val="10"/>
      <color rgb="FF1F3864"/>
      <name val="Calibri"/>
      <family val="2"/>
      <scheme val="minor"/>
    </font>
    <font>
      <sz val="10"/>
      <color rgb="FF9C6516"/>
      <name val="Calibri"/>
      <family val="2"/>
      <scheme val="minor"/>
    </font>
    <font>
      <b/>
      <sz val="10"/>
      <color rgb="FF1F3864"/>
      <name val="Calibri"/>
      <family val="2"/>
      <scheme val="minor"/>
    </font>
    <font>
      <b/>
      <sz val="10"/>
      <color rgb="FF1E6B3A"/>
      <name val="Calibri"/>
      <family val="2"/>
      <scheme val="minor"/>
    </font>
    <font>
      <u/>
      <sz val="11"/>
      <color theme="10"/>
      <name val="Calibri"/>
      <family val="2"/>
      <scheme val="minor"/>
    </font>
    <font>
      <b/>
      <sz val="10"/>
      <color rgb="FF2E5E8C"/>
      <name val="Calibri"/>
      <family val="2"/>
      <scheme val="minor"/>
    </font>
    <font>
      <b/>
      <sz val="11"/>
      <color theme="1"/>
      <name val="Calibri"/>
      <family val="2"/>
      <scheme val="minor"/>
    </font>
    <font>
      <sz val="9"/>
      <color rgb="FF595959"/>
      <name val="Calibri"/>
      <family val="2"/>
      <scheme val="minor"/>
    </font>
    <font>
      <b/>
      <sz val="9"/>
      <color rgb="FF9C6516"/>
      <name val="Calibri"/>
      <family val="2"/>
      <scheme val="minor"/>
    </font>
    <font>
      <b/>
      <sz val="9"/>
      <color rgb="FF2E5E8C"/>
      <name val="Calibri"/>
      <family val="2"/>
      <scheme val="minor"/>
    </font>
    <font>
      <b/>
      <sz val="14"/>
      <color rgb="FF1F3864"/>
      <name val="Calibri"/>
      <family val="2"/>
      <scheme val="minor"/>
    </font>
    <font>
      <b/>
      <sz val="16"/>
      <color rgb="FF1F3864"/>
      <name val="Calibri"/>
      <family val="2"/>
      <scheme val="minor"/>
    </font>
    <font>
      <sz val="12"/>
      <color rgb="FF1F3864"/>
      <name val="Calibri"/>
      <family val="2"/>
    </font>
    <font>
      <sz val="9"/>
      <color rgb="FFFFFFFF"/>
      <name val="Calibri"/>
      <family val="2"/>
    </font>
    <font>
      <sz val="16"/>
      <color rgb="FF1F3864"/>
      <name val="Calibri"/>
      <family val="2"/>
    </font>
    <font>
      <sz val="16"/>
      <color rgb="FF9C1F2E"/>
      <name val="Calibri"/>
      <family val="2"/>
    </font>
    <font>
      <sz val="16"/>
      <color rgb="FF1E6B3A"/>
      <name val="Calibri"/>
      <family val="2"/>
    </font>
    <font>
      <sz val="16"/>
      <color rgb="FF595959"/>
      <name val="Calibri"/>
      <family val="2"/>
    </font>
    <font>
      <sz val="12"/>
      <color rgb="FF1F3864"/>
      <name val="Calibri"/>
      <family val="2"/>
      <scheme val="minor"/>
    </font>
    <font>
      <sz val="9"/>
      <color rgb="FF9C1F2E"/>
      <name val="Calibri"/>
      <family val="2"/>
      <scheme val="minor"/>
    </font>
    <font>
      <sz val="9"/>
      <color rgb="FF9C6516"/>
      <name val="Calibri"/>
      <family val="2"/>
      <scheme val="minor"/>
    </font>
    <font>
      <sz val="9"/>
      <color rgb="FF2E5E8C"/>
      <name val="Calibri"/>
      <family val="2"/>
      <scheme val="minor"/>
    </font>
    <font>
      <sz val="11"/>
      <color rgb="FF1F3864"/>
      <name val="Calibri"/>
      <family val="2"/>
      <scheme val="minor"/>
    </font>
    <font>
      <sz val="14"/>
      <color rgb="FF1F3864"/>
      <name val="Calibri"/>
      <family val="2"/>
      <scheme val="minor"/>
    </font>
    <font>
      <sz val="10"/>
      <color theme="1"/>
      <name val="Calibri"/>
      <family val="2"/>
      <scheme val="minor"/>
    </font>
    <font>
      <b/>
      <sz val="11"/>
      <color rgb="FF1E6B3A"/>
      <name val="Calibri"/>
      <family val="2"/>
    </font>
    <font>
      <sz val="9"/>
      <color rgb="FF1F3864"/>
      <name val="Calibri"/>
      <family val="2"/>
    </font>
    <font>
      <b/>
      <sz val="9"/>
      <color rgb="FF262626"/>
      <name val="Calibri"/>
      <family val="2"/>
    </font>
    <font>
      <sz val="9"/>
      <color rgb="FF262626"/>
      <name val="Calibri"/>
      <family val="2"/>
    </font>
    <font>
      <sz val="9"/>
      <color rgb="FF9C6516"/>
      <name val="Calibri"/>
      <family val="2"/>
    </font>
    <font>
      <sz val="9"/>
      <color theme="1"/>
      <name val="Calibri"/>
      <family val="2"/>
      <scheme val="minor"/>
    </font>
    <font>
      <sz val="9"/>
      <color rgb="FF262626"/>
      <name val="Calibri"/>
      <family val="2"/>
      <scheme val="minor"/>
    </font>
    <font>
      <sz val="10"/>
      <color rgb="FF595959"/>
      <name val="Calibri"/>
      <family val="2"/>
    </font>
  </fonts>
  <fills count="16">
    <fill>
      <patternFill patternType="none"/>
    </fill>
    <fill>
      <patternFill patternType="gray125"/>
    </fill>
    <fill>
      <patternFill patternType="solid">
        <fgColor rgb="FF1F3864"/>
      </patternFill>
    </fill>
    <fill>
      <patternFill patternType="solid">
        <fgColor rgb="FFF2F5F9"/>
      </patternFill>
    </fill>
    <fill>
      <patternFill patternType="solid">
        <fgColor rgb="FFEDF2F8"/>
      </patternFill>
    </fill>
    <fill>
      <patternFill patternType="solid">
        <fgColor rgb="FFFDF4E7"/>
      </patternFill>
    </fill>
    <fill>
      <patternFill patternType="solid">
        <fgColor rgb="FFFFF7E0"/>
      </patternFill>
    </fill>
    <fill>
      <patternFill patternType="solid">
        <fgColor rgb="FF2E5E8C"/>
      </patternFill>
    </fill>
    <fill>
      <patternFill patternType="solid">
        <fgColor rgb="FFF2F5F9"/>
        <bgColor indexed="64"/>
      </patternFill>
    </fill>
    <fill>
      <patternFill patternType="solid">
        <fgColor rgb="FFEDF2F8"/>
        <bgColor indexed="64"/>
      </patternFill>
    </fill>
    <fill>
      <patternFill patternType="solid">
        <fgColor rgb="FF1F3864"/>
        <bgColor indexed="64"/>
      </patternFill>
    </fill>
    <fill>
      <patternFill patternType="solid">
        <fgColor rgb="FFFFF7E0"/>
        <bgColor indexed="64"/>
      </patternFill>
    </fill>
    <fill>
      <patternFill patternType="solid">
        <fgColor rgb="FFFDF4E7"/>
        <bgColor indexed="64"/>
      </patternFill>
    </fill>
    <fill>
      <patternFill patternType="solid">
        <fgColor rgb="FFE3F0E7"/>
        <bgColor indexed="64"/>
      </patternFill>
    </fill>
    <fill>
      <patternFill patternType="solid">
        <fgColor rgb="FFDCE6F1"/>
        <bgColor indexed="64"/>
      </patternFill>
    </fill>
    <fill>
      <patternFill patternType="solid">
        <fgColor rgb="FF2E5E8C"/>
        <bgColor indexed="64"/>
      </patternFill>
    </fill>
  </fills>
  <borders count="14">
    <border>
      <left/>
      <right/>
      <top/>
      <bottom/>
      <diagonal/>
    </border>
    <border>
      <left/>
      <right/>
      <top/>
      <bottom style="thin">
        <color rgb="FFBFBFBF"/>
      </bottom>
      <diagonal/>
    </border>
    <border>
      <left/>
      <right/>
      <top/>
      <bottom style="medium">
        <color rgb="FF1F3864"/>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rgb="FFBFBFBF"/>
      </left>
      <right/>
      <top style="thin">
        <color rgb="FFBFBFBF"/>
      </top>
      <bottom/>
      <diagonal/>
    </border>
    <border>
      <left/>
      <right/>
      <top style="medium">
        <color rgb="FF1F3864"/>
      </top>
      <bottom/>
      <diagonal/>
    </border>
    <border>
      <left style="medium">
        <color rgb="FF1E6B3A"/>
      </left>
      <right/>
      <top/>
      <bottom/>
      <diagonal/>
    </border>
    <border>
      <left style="medium">
        <color rgb="FF9C1F2E"/>
      </left>
      <right/>
      <top/>
      <bottom/>
      <diagonal/>
    </border>
    <border>
      <left/>
      <right/>
      <top style="thin">
        <color rgb="FFBFBFBF"/>
      </top>
      <bottom style="medium">
        <color rgb="FF1F3864"/>
      </bottom>
      <diagonal/>
    </border>
    <border>
      <left style="thin">
        <color rgb="FFD6DEE8"/>
      </left>
      <right/>
      <top/>
      <bottom/>
      <diagonal/>
    </border>
    <border>
      <left/>
      <right/>
      <top/>
      <bottom style="thin">
        <color rgb="FF1F3864"/>
      </bottom>
      <diagonal/>
    </border>
    <border>
      <left/>
      <right style="thin">
        <color rgb="FFD6DEE8"/>
      </right>
      <top/>
      <bottom/>
      <diagonal/>
    </border>
  </borders>
  <cellStyleXfs count="2">
    <xf numFmtId="0" fontId="0" fillId="0" borderId="0"/>
    <xf numFmtId="0" fontId="37" fillId="0" borderId="0" applyNumberFormat="0" applyFill="0" applyBorder="0" applyAlignment="0" applyProtection="0"/>
  </cellStyleXfs>
  <cellXfs count="319">
    <xf numFmtId="0" fontId="0" fillId="0" borderId="0" xfId="0"/>
    <xf numFmtId="0" fontId="2" fillId="0" borderId="0" xfId="0" applyFont="1" applyAlignment="1">
      <alignment horizontal="left" vertical="center"/>
    </xf>
    <xf numFmtId="165" fontId="2" fillId="0" borderId="0" xfId="0" applyNumberFormat="1" applyFont="1" applyAlignment="1">
      <alignment horizontal="right" vertical="center"/>
    </xf>
    <xf numFmtId="170" fontId="2" fillId="0" borderId="0" xfId="0" applyNumberFormat="1" applyFont="1" applyAlignment="1">
      <alignment horizontal="right" vertical="center"/>
    </xf>
    <xf numFmtId="0" fontId="1" fillId="2" borderId="0" xfId="0" applyFont="1" applyFill="1" applyAlignment="1">
      <alignment horizontal="left" vertical="center"/>
    </xf>
    <xf numFmtId="164" fontId="2" fillId="0" borderId="0" xfId="0" applyNumberFormat="1" applyFont="1" applyAlignment="1">
      <alignment horizontal="right" vertical="center"/>
    </xf>
    <xf numFmtId="166" fontId="2" fillId="0" borderId="0" xfId="0" applyNumberFormat="1" applyFont="1" applyAlignment="1">
      <alignment horizontal="right" vertical="center"/>
    </xf>
    <xf numFmtId="167" fontId="2" fillId="0" borderId="0" xfId="0" applyNumberFormat="1" applyFont="1" applyAlignment="1">
      <alignment horizontal="right" vertical="center"/>
    </xf>
    <xf numFmtId="2" fontId="2" fillId="0" borderId="0" xfId="0" applyNumberFormat="1" applyFont="1" applyAlignment="1">
      <alignment horizontal="right" vertical="center"/>
    </xf>
    <xf numFmtId="0" fontId="1" fillId="2" borderId="0" xfId="0" applyFont="1" applyFill="1" applyAlignment="1">
      <alignment horizontal="right" vertical="center"/>
    </xf>
    <xf numFmtId="173" fontId="2" fillId="0" borderId="0" xfId="0" applyNumberFormat="1" applyFont="1" applyAlignment="1">
      <alignment horizontal="right" vertical="center"/>
    </xf>
    <xf numFmtId="168" fontId="2" fillId="0" borderId="0" xfId="0" applyNumberFormat="1" applyFont="1" applyAlignment="1">
      <alignment horizontal="right" vertical="center"/>
    </xf>
    <xf numFmtId="171" fontId="2" fillId="0" borderId="0" xfId="0" applyNumberFormat="1" applyFont="1" applyAlignment="1">
      <alignment horizontal="right" vertical="center"/>
    </xf>
    <xf numFmtId="169" fontId="2" fillId="0" borderId="0" xfId="0" applyNumberFormat="1" applyFont="1" applyAlignment="1">
      <alignment horizontal="right" vertical="center"/>
    </xf>
    <xf numFmtId="0" fontId="1" fillId="2" borderId="0" xfId="0" applyFont="1" applyFill="1" applyAlignment="1">
      <alignment horizontal="center" wrapText="1"/>
    </xf>
    <xf numFmtId="0" fontId="2" fillId="2" borderId="0" xfId="0" applyFont="1" applyFill="1" applyAlignment="1">
      <alignment horizontal="left" vertical="center"/>
    </xf>
    <xf numFmtId="17" fontId="2" fillId="0" borderId="0" xfId="0" applyNumberFormat="1" applyFont="1" applyAlignment="1">
      <alignment horizontal="right" vertical="center"/>
    </xf>
    <xf numFmtId="172" fontId="2" fillId="0" borderId="0" xfId="0" applyNumberFormat="1" applyFont="1" applyAlignment="1">
      <alignment horizontal="right" vertical="center"/>
    </xf>
    <xf numFmtId="0" fontId="3" fillId="0" borderId="0" xfId="0" applyFont="1" applyAlignment="1">
      <alignment horizontal="left" vertical="center"/>
    </xf>
    <xf numFmtId="184" fontId="3" fillId="0" borderId="0" xfId="0" applyNumberFormat="1" applyFont="1" applyAlignment="1">
      <alignment horizontal="right" vertical="center"/>
    </xf>
    <xf numFmtId="0" fontId="4" fillId="2" borderId="0" xfId="0" applyFont="1" applyFill="1" applyAlignment="1">
      <alignment horizontal="left" wrapText="1"/>
    </xf>
    <xf numFmtId="0" fontId="5" fillId="0" borderId="2" xfId="0" applyFont="1" applyBorder="1" applyAlignment="1">
      <alignment horizontal="left" vertical="center"/>
    </xf>
    <xf numFmtId="0" fontId="7" fillId="0" borderId="0" xfId="0" applyFont="1" applyAlignment="1">
      <alignment horizontal="left" vertical="center"/>
    </xf>
    <xf numFmtId="174" fontId="3" fillId="0" borderId="0" xfId="0" applyNumberFormat="1" applyFont="1" applyAlignment="1">
      <alignment horizontal="right" vertical="center"/>
    </xf>
    <xf numFmtId="174" fontId="8" fillId="0" borderId="0" xfId="0" applyNumberFormat="1" applyFont="1" applyAlignment="1">
      <alignment horizontal="right" vertical="center"/>
    </xf>
    <xf numFmtId="175" fontId="3" fillId="0" borderId="0" xfId="0" applyNumberFormat="1" applyFont="1" applyAlignment="1">
      <alignment horizontal="right" vertical="center"/>
    </xf>
    <xf numFmtId="176" fontId="3" fillId="0" borderId="0" xfId="0" applyNumberFormat="1" applyFont="1" applyAlignment="1">
      <alignment horizontal="right" vertical="center"/>
    </xf>
    <xf numFmtId="0" fontId="3" fillId="0" borderId="0" xfId="0" applyFont="1" applyAlignment="1">
      <alignment horizontal="right" vertical="center"/>
    </xf>
    <xf numFmtId="165" fontId="3" fillId="0" borderId="0" xfId="0" applyNumberFormat="1" applyFont="1" applyAlignment="1">
      <alignment horizontal="right" vertical="center"/>
    </xf>
    <xf numFmtId="177" fontId="3" fillId="0" borderId="0" xfId="0" applyNumberFormat="1" applyFont="1" applyAlignment="1">
      <alignment horizontal="right" vertical="center"/>
    </xf>
    <xf numFmtId="170" fontId="3" fillId="0" borderId="0" xfId="0" applyNumberFormat="1" applyFont="1" applyAlignment="1">
      <alignment horizontal="right" vertical="center"/>
    </xf>
    <xf numFmtId="170" fontId="8" fillId="0" borderId="0" xfId="0" applyNumberFormat="1" applyFont="1" applyAlignment="1">
      <alignment horizontal="right" vertical="center"/>
    </xf>
    <xf numFmtId="178" fontId="3" fillId="0" borderId="0" xfId="0" applyNumberFormat="1" applyFont="1" applyAlignment="1">
      <alignment horizontal="right" vertical="center"/>
    </xf>
    <xf numFmtId="164" fontId="8" fillId="0" borderId="0" xfId="0" applyNumberFormat="1" applyFont="1" applyAlignment="1">
      <alignment horizontal="right" vertical="center"/>
    </xf>
    <xf numFmtId="0" fontId="8" fillId="0" borderId="0" xfId="0" applyFont="1" applyAlignment="1">
      <alignment horizontal="left" vertical="center"/>
    </xf>
    <xf numFmtId="173" fontId="8" fillId="0" borderId="0" xfId="0" applyNumberFormat="1" applyFont="1" applyAlignment="1">
      <alignment horizontal="right" vertical="center"/>
    </xf>
    <xf numFmtId="166" fontId="8" fillId="0" borderId="0" xfId="0" applyNumberFormat="1" applyFont="1" applyAlignment="1">
      <alignment horizontal="right" vertical="center"/>
    </xf>
    <xf numFmtId="0" fontId="9" fillId="0" borderId="0" xfId="0" applyFont="1" applyAlignment="1">
      <alignment horizontal="left" vertical="center"/>
    </xf>
    <xf numFmtId="0" fontId="10" fillId="0" borderId="0" xfId="0" applyFont="1" applyAlignment="1">
      <alignment horizontal="left" vertical="center"/>
    </xf>
    <xf numFmtId="0" fontId="11" fillId="0" borderId="0" xfId="0" applyFont="1" applyAlignment="1">
      <alignment horizontal="left" vertical="center"/>
    </xf>
    <xf numFmtId="0" fontId="12" fillId="0" borderId="1" xfId="0" applyFont="1" applyBorder="1" applyAlignment="1">
      <alignment horizontal="left" vertical="center"/>
    </xf>
    <xf numFmtId="0" fontId="12" fillId="0" borderId="2" xfId="0" applyFont="1" applyBorder="1" applyAlignment="1">
      <alignment horizontal="left" vertical="center"/>
    </xf>
    <xf numFmtId="0" fontId="4" fillId="2" borderId="0" xfId="0" applyFont="1" applyFill="1" applyAlignment="1">
      <alignment horizontal="right" wrapText="1"/>
    </xf>
    <xf numFmtId="0" fontId="7" fillId="0" borderId="0" xfId="0" applyFont="1" applyAlignment="1">
      <alignment horizontal="right" vertical="center"/>
    </xf>
    <xf numFmtId="0" fontId="12" fillId="0" borderId="3" xfId="0" applyFont="1" applyBorder="1" applyAlignment="1">
      <alignment horizontal="left" vertical="center"/>
    </xf>
    <xf numFmtId="0" fontId="4" fillId="2" borderId="0" xfId="0" applyFont="1" applyFill="1" applyAlignment="1">
      <alignment horizontal="left" vertical="center"/>
    </xf>
    <xf numFmtId="0" fontId="12" fillId="0" borderId="0" xfId="0" applyFont="1" applyAlignment="1">
      <alignment horizontal="left" vertical="center"/>
    </xf>
    <xf numFmtId="0" fontId="16" fillId="0" borderId="3" xfId="0" applyFont="1" applyBorder="1" applyAlignment="1">
      <alignment horizontal="left" vertical="center"/>
    </xf>
    <xf numFmtId="164" fontId="3" fillId="0" borderId="0" xfId="0" applyNumberFormat="1" applyFont="1" applyAlignment="1">
      <alignment horizontal="right" vertical="center"/>
    </xf>
    <xf numFmtId="0" fontId="16" fillId="0" borderId="0" xfId="0" applyFont="1" applyAlignment="1">
      <alignment horizontal="left" vertical="center"/>
    </xf>
    <xf numFmtId="0" fontId="17" fillId="6" borderId="4" xfId="0" applyFont="1" applyFill="1" applyBorder="1" applyAlignment="1">
      <alignment horizontal="center" vertical="center"/>
    </xf>
    <xf numFmtId="174" fontId="16" fillId="0" borderId="0" xfId="0" applyNumberFormat="1" applyFont="1" applyAlignment="1">
      <alignment horizontal="right" vertical="center"/>
    </xf>
    <xf numFmtId="175" fontId="16" fillId="0" borderId="0" xfId="0" applyNumberFormat="1" applyFont="1" applyAlignment="1">
      <alignment horizontal="right" vertical="center"/>
    </xf>
    <xf numFmtId="165" fontId="16" fillId="0" borderId="0" xfId="0" applyNumberFormat="1" applyFont="1" applyAlignment="1">
      <alignment horizontal="right" vertical="center"/>
    </xf>
    <xf numFmtId="0" fontId="7" fillId="0" borderId="3" xfId="0" applyFont="1" applyBorder="1" applyAlignment="1">
      <alignment horizontal="left" vertical="center"/>
    </xf>
    <xf numFmtId="179" fontId="3" fillId="0" borderId="0" xfId="0" applyNumberFormat="1" applyFont="1" applyAlignment="1">
      <alignment horizontal="right" vertical="center"/>
    </xf>
    <xf numFmtId="179" fontId="8" fillId="0" borderId="0" xfId="0" applyNumberFormat="1" applyFont="1" applyAlignment="1">
      <alignment horizontal="right" vertical="center"/>
    </xf>
    <xf numFmtId="166" fontId="3" fillId="0" borderId="0" xfId="0" applyNumberFormat="1" applyFont="1" applyAlignment="1">
      <alignment horizontal="right" vertical="center"/>
    </xf>
    <xf numFmtId="167" fontId="3" fillId="0" borderId="0" xfId="0" applyNumberFormat="1" applyFont="1" applyAlignment="1">
      <alignment horizontal="right" vertical="center"/>
    </xf>
    <xf numFmtId="181" fontId="8" fillId="0" borderId="0" xfId="0" applyNumberFormat="1" applyFont="1" applyAlignment="1">
      <alignment horizontal="right" vertical="center"/>
    </xf>
    <xf numFmtId="168" fontId="8" fillId="0" borderId="0" xfId="0" applyNumberFormat="1" applyFont="1" applyAlignment="1">
      <alignment horizontal="right" vertical="center"/>
    </xf>
    <xf numFmtId="2" fontId="8" fillId="0" borderId="0" xfId="0" applyNumberFormat="1" applyFont="1" applyAlignment="1">
      <alignment horizontal="right" vertical="center"/>
    </xf>
    <xf numFmtId="2" fontId="3" fillId="0" borderId="0" xfId="0" applyNumberFormat="1" applyFont="1" applyAlignment="1">
      <alignment horizontal="right" vertical="center"/>
    </xf>
    <xf numFmtId="182" fontId="3" fillId="0" borderId="0" xfId="0" applyNumberFormat="1" applyFont="1" applyAlignment="1">
      <alignment horizontal="right" vertical="center"/>
    </xf>
    <xf numFmtId="182" fontId="3" fillId="5" borderId="0" xfId="0" applyNumberFormat="1" applyFont="1" applyFill="1" applyAlignment="1">
      <alignment horizontal="right" vertical="center"/>
    </xf>
    <xf numFmtId="0" fontId="3" fillId="0" borderId="0" xfId="0" applyFont="1" applyAlignment="1">
      <alignment horizontal="left" vertical="center" indent="1"/>
    </xf>
    <xf numFmtId="0" fontId="8" fillId="0" borderId="3" xfId="0" applyFont="1" applyBorder="1" applyAlignment="1">
      <alignment horizontal="left" vertical="center"/>
    </xf>
    <xf numFmtId="182" fontId="8" fillId="0" borderId="3" xfId="0" applyNumberFormat="1" applyFont="1" applyBorder="1" applyAlignment="1">
      <alignment horizontal="right" vertical="center"/>
    </xf>
    <xf numFmtId="182" fontId="8" fillId="5" borderId="3" xfId="0" applyNumberFormat="1" applyFont="1" applyFill="1" applyBorder="1" applyAlignment="1">
      <alignment horizontal="right" vertical="center"/>
    </xf>
    <xf numFmtId="165" fontId="3" fillId="5" borderId="0" xfId="0" applyNumberFormat="1" applyFont="1" applyFill="1" applyAlignment="1">
      <alignment horizontal="right" vertical="center"/>
    </xf>
    <xf numFmtId="170" fontId="3" fillId="5" borderId="0" xfId="0" applyNumberFormat="1" applyFont="1" applyFill="1" applyAlignment="1">
      <alignment horizontal="right" vertical="center"/>
    </xf>
    <xf numFmtId="0" fontId="18" fillId="4" borderId="0" xfId="0" applyFont="1" applyFill="1" applyAlignment="1">
      <alignment horizontal="left" vertical="center"/>
    </xf>
    <xf numFmtId="0" fontId="12" fillId="4" borderId="0" xfId="0" applyFont="1" applyFill="1" applyAlignment="1">
      <alignment horizontal="left" vertical="center"/>
    </xf>
    <xf numFmtId="0" fontId="19" fillId="5" borderId="0" xfId="0" applyFont="1" applyFill="1" applyAlignment="1">
      <alignment horizontal="left" vertical="center"/>
    </xf>
    <xf numFmtId="0" fontId="12" fillId="5" borderId="0" xfId="0" applyFont="1" applyFill="1" applyAlignment="1">
      <alignment horizontal="left" vertical="center"/>
    </xf>
    <xf numFmtId="0" fontId="18" fillId="3" borderId="0" xfId="0" applyFont="1" applyFill="1" applyAlignment="1">
      <alignment horizontal="center" vertical="center"/>
    </xf>
    <xf numFmtId="0" fontId="4" fillId="2" borderId="0" xfId="0" applyFont="1" applyFill="1" applyAlignment="1">
      <alignment horizontal="right" vertical="center"/>
    </xf>
    <xf numFmtId="169" fontId="7" fillId="0" borderId="0" xfId="0" applyNumberFormat="1" applyFont="1" applyAlignment="1">
      <alignment horizontal="right" vertical="center"/>
    </xf>
    <xf numFmtId="183" fontId="3" fillId="0" borderId="5" xfId="0" applyNumberFormat="1" applyFont="1" applyBorder="1" applyAlignment="1">
      <alignment horizontal="right" vertical="center"/>
    </xf>
    <xf numFmtId="183" fontId="8" fillId="0" borderId="6" xfId="0" applyNumberFormat="1" applyFont="1" applyBorder="1" applyAlignment="1">
      <alignment horizontal="right" vertical="center"/>
    </xf>
    <xf numFmtId="176" fontId="3" fillId="0" borderId="3" xfId="0" applyNumberFormat="1" applyFont="1" applyBorder="1" applyAlignment="1">
      <alignment horizontal="right" vertical="center"/>
    </xf>
    <xf numFmtId="0" fontId="8" fillId="0" borderId="3" xfId="0" applyFont="1" applyBorder="1" applyAlignment="1">
      <alignment horizontal="right" vertical="center"/>
    </xf>
    <xf numFmtId="0" fontId="8" fillId="3" borderId="3" xfId="0" applyFont="1" applyFill="1" applyBorder="1" applyAlignment="1">
      <alignment horizontal="left" vertical="center"/>
    </xf>
    <xf numFmtId="182" fontId="8" fillId="3" borderId="3" xfId="0" applyNumberFormat="1" applyFont="1" applyFill="1" applyBorder="1" applyAlignment="1">
      <alignment horizontal="right" vertical="center"/>
    </xf>
    <xf numFmtId="183" fontId="8" fillId="3" borderId="6" xfId="0" applyNumberFormat="1" applyFont="1" applyFill="1" applyBorder="1" applyAlignment="1">
      <alignment horizontal="right" vertical="center"/>
    </xf>
    <xf numFmtId="176" fontId="3" fillId="3" borderId="3" xfId="0" applyNumberFormat="1" applyFont="1" applyFill="1" applyBorder="1" applyAlignment="1">
      <alignment horizontal="right" vertical="center"/>
    </xf>
    <xf numFmtId="0" fontId="8" fillId="3" borderId="3" xfId="0" applyFont="1" applyFill="1" applyBorder="1" applyAlignment="1">
      <alignment horizontal="right" vertical="center"/>
    </xf>
    <xf numFmtId="177" fontId="3" fillId="0" borderId="5" xfId="0" applyNumberFormat="1" applyFont="1" applyBorder="1" applyAlignment="1">
      <alignment horizontal="right" vertical="center"/>
    </xf>
    <xf numFmtId="170" fontId="16" fillId="0" borderId="3" xfId="0" applyNumberFormat="1" applyFont="1" applyBorder="1" applyAlignment="1">
      <alignment horizontal="right" vertical="center"/>
    </xf>
    <xf numFmtId="0" fontId="4" fillId="7" borderId="0" xfId="0" applyFont="1" applyFill="1" applyAlignment="1">
      <alignment horizontal="right" wrapText="1"/>
    </xf>
    <xf numFmtId="177" fontId="16" fillId="0" borderId="0" xfId="0" applyNumberFormat="1" applyFont="1" applyAlignment="1">
      <alignment horizontal="right" vertical="center"/>
    </xf>
    <xf numFmtId="169" fontId="7" fillId="0" borderId="3" xfId="0" applyNumberFormat="1" applyFont="1" applyBorder="1" applyAlignment="1">
      <alignment horizontal="right" vertical="center"/>
    </xf>
    <xf numFmtId="174" fontId="8" fillId="3" borderId="0" xfId="0" applyNumberFormat="1" applyFont="1" applyFill="1" applyAlignment="1">
      <alignment horizontal="right" vertical="center"/>
    </xf>
    <xf numFmtId="174" fontId="3" fillId="3" borderId="0" xfId="0" applyNumberFormat="1" applyFont="1" applyFill="1" applyAlignment="1">
      <alignment horizontal="right" vertical="center"/>
    </xf>
    <xf numFmtId="179" fontId="3" fillId="3" borderId="0" xfId="0" applyNumberFormat="1" applyFont="1" applyFill="1" applyAlignment="1">
      <alignment horizontal="right" vertical="center"/>
    </xf>
    <xf numFmtId="168" fontId="8" fillId="3" borderId="0" xfId="0" applyNumberFormat="1" applyFont="1" applyFill="1" applyAlignment="1">
      <alignment horizontal="right" vertical="center"/>
    </xf>
    <xf numFmtId="173" fontId="3" fillId="0" borderId="0" xfId="0" applyNumberFormat="1" applyFont="1" applyAlignment="1">
      <alignment horizontal="right" vertical="center"/>
    </xf>
    <xf numFmtId="173" fontId="3" fillId="3" borderId="0" xfId="0" applyNumberFormat="1" applyFont="1" applyFill="1" applyAlignment="1">
      <alignment horizontal="right" vertical="center"/>
    </xf>
    <xf numFmtId="0" fontId="3" fillId="3" borderId="0" xfId="0" applyFont="1" applyFill="1" applyAlignment="1">
      <alignment horizontal="right" vertical="center"/>
    </xf>
    <xf numFmtId="166" fontId="17" fillId="6" borderId="0" xfId="0" applyNumberFormat="1" applyFont="1" applyFill="1" applyAlignment="1">
      <alignment horizontal="right" vertical="center"/>
    </xf>
    <xf numFmtId="168" fontId="16" fillId="0" borderId="0" xfId="0" applyNumberFormat="1" applyFont="1" applyAlignment="1">
      <alignment horizontal="right" vertical="center"/>
    </xf>
    <xf numFmtId="0" fontId="16" fillId="0" borderId="0" xfId="0" applyFont="1" applyAlignment="1">
      <alignment horizontal="right" vertical="center"/>
    </xf>
    <xf numFmtId="168" fontId="3" fillId="0" borderId="0" xfId="0" applyNumberFormat="1" applyFont="1" applyAlignment="1">
      <alignment horizontal="right" vertical="center"/>
    </xf>
    <xf numFmtId="0" fontId="20" fillId="0" borderId="2" xfId="0" applyFont="1" applyBorder="1" applyAlignment="1">
      <alignment horizontal="left" vertical="center"/>
    </xf>
    <xf numFmtId="171" fontId="3" fillId="0" borderId="0" xfId="0" applyNumberFormat="1" applyFont="1" applyAlignment="1">
      <alignment horizontal="right" vertical="center"/>
    </xf>
    <xf numFmtId="169" fontId="3" fillId="0" borderId="0" xfId="0" applyNumberFormat="1" applyFont="1" applyAlignment="1">
      <alignment horizontal="right" vertical="center"/>
    </xf>
    <xf numFmtId="0" fontId="17" fillId="6" borderId="0" xfId="0" applyFont="1" applyFill="1" applyAlignment="1">
      <alignment horizontal="right" vertical="center"/>
    </xf>
    <xf numFmtId="0" fontId="17" fillId="0" borderId="0" xfId="0" applyFont="1" applyAlignment="1">
      <alignment horizontal="left" vertical="center"/>
    </xf>
    <xf numFmtId="165" fontId="17" fillId="6" borderId="0" xfId="0" applyNumberFormat="1" applyFont="1" applyFill="1" applyAlignment="1">
      <alignment horizontal="right" vertical="center"/>
    </xf>
    <xf numFmtId="168" fontId="17" fillId="6" borderId="0" xfId="0" applyNumberFormat="1" applyFont="1" applyFill="1" applyAlignment="1">
      <alignment horizontal="right" vertical="center"/>
    </xf>
    <xf numFmtId="181" fontId="16" fillId="0" borderId="0" xfId="0" applyNumberFormat="1" applyFont="1" applyAlignment="1">
      <alignment horizontal="right" vertical="center"/>
    </xf>
    <xf numFmtId="181" fontId="17" fillId="6" borderId="0" xfId="0" applyNumberFormat="1" applyFont="1" applyFill="1" applyAlignment="1">
      <alignment horizontal="right" vertical="center"/>
    </xf>
    <xf numFmtId="164" fontId="17" fillId="6" borderId="0" xfId="0" applyNumberFormat="1" applyFont="1" applyFill="1" applyAlignment="1">
      <alignment horizontal="right" vertical="center"/>
    </xf>
    <xf numFmtId="0" fontId="6" fillId="0" borderId="0" xfId="0" applyFont="1" applyAlignment="1">
      <alignment horizontal="left" vertical="center"/>
    </xf>
    <xf numFmtId="0" fontId="15" fillId="0" borderId="0" xfId="0" applyFont="1" applyAlignment="1">
      <alignment horizontal="left" vertical="center"/>
    </xf>
    <xf numFmtId="0" fontId="4" fillId="2" borderId="0" xfId="0" applyFont="1" applyFill="1" applyAlignment="1">
      <alignment horizontal="center" wrapText="1"/>
    </xf>
    <xf numFmtId="0" fontId="0" fillId="0" borderId="1" xfId="0" applyBorder="1"/>
    <xf numFmtId="0" fontId="7" fillId="0" borderId="0" xfId="0" applyFont="1" applyAlignment="1">
      <alignment horizontal="left" vertical="center" wrapText="1"/>
    </xf>
    <xf numFmtId="0" fontId="22" fillId="0" borderId="0" xfId="0" applyFont="1" applyAlignment="1">
      <alignment horizontal="left" vertical="center"/>
    </xf>
    <xf numFmtId="0" fontId="3" fillId="0" borderId="0" xfId="0" applyFont="1" applyAlignment="1">
      <alignment horizontal="left" vertical="center" wrapText="1"/>
    </xf>
    <xf numFmtId="0" fontId="3" fillId="0" borderId="0" xfId="0" applyFont="1" applyAlignment="1">
      <alignment horizontal="center" vertical="center"/>
    </xf>
    <xf numFmtId="0" fontId="21" fillId="0" borderId="0" xfId="0" applyFont="1" applyAlignment="1">
      <alignment horizontal="center" vertical="center"/>
    </xf>
    <xf numFmtId="182" fontId="3" fillId="9" borderId="0" xfId="0" applyNumberFormat="1" applyFont="1" applyFill="1" applyAlignment="1">
      <alignment horizontal="right" vertical="center"/>
    </xf>
    <xf numFmtId="182" fontId="8" fillId="9" borderId="3" xfId="0" applyNumberFormat="1" applyFont="1" applyFill="1" applyBorder="1" applyAlignment="1">
      <alignment horizontal="right" vertical="center"/>
    </xf>
    <xf numFmtId="165" fontId="3" fillId="9" borderId="0" xfId="0" applyNumberFormat="1" applyFont="1" applyFill="1" applyAlignment="1">
      <alignment horizontal="right" vertical="center"/>
    </xf>
    <xf numFmtId="170" fontId="3" fillId="9" borderId="0" xfId="0" applyNumberFormat="1" applyFont="1" applyFill="1" applyAlignment="1">
      <alignment horizontal="right" vertical="center"/>
    </xf>
    <xf numFmtId="0" fontId="4" fillId="2" borderId="5" xfId="0" applyFont="1" applyFill="1" applyBorder="1" applyAlignment="1">
      <alignment horizontal="right" vertical="center"/>
    </xf>
    <xf numFmtId="182" fontId="16" fillId="0" borderId="5" xfId="0" applyNumberFormat="1" applyFont="1" applyBorder="1" applyAlignment="1">
      <alignment horizontal="right" vertical="center"/>
    </xf>
    <xf numFmtId="0" fontId="0" fillId="0" borderId="5" xfId="0" applyBorder="1"/>
    <xf numFmtId="182" fontId="16" fillId="0" borderId="6" xfId="0" applyNumberFormat="1" applyFont="1" applyBorder="1" applyAlignment="1">
      <alignment horizontal="right" vertical="center"/>
    </xf>
    <xf numFmtId="165" fontId="16" fillId="0" borderId="5" xfId="0" applyNumberFormat="1" applyFont="1" applyBorder="1" applyAlignment="1">
      <alignment horizontal="right" vertical="center"/>
    </xf>
    <xf numFmtId="170" fontId="16" fillId="0" borderId="5" xfId="0" applyNumberFormat="1" applyFont="1" applyBorder="1" applyAlignment="1">
      <alignment horizontal="right" vertical="center"/>
    </xf>
    <xf numFmtId="0" fontId="23" fillId="0" borderId="0" xfId="0" applyFont="1" applyAlignment="1">
      <alignment horizontal="left" vertical="center"/>
    </xf>
    <xf numFmtId="0" fontId="24" fillId="0" borderId="0" xfId="0" applyFont="1" applyAlignment="1">
      <alignment horizontal="left" vertical="center"/>
    </xf>
    <xf numFmtId="0" fontId="25" fillId="0" borderId="0" xfId="0" applyFont="1" applyAlignment="1">
      <alignment horizontal="left" vertical="center"/>
    </xf>
    <xf numFmtId="0" fontId="26" fillId="0" borderId="2" xfId="0" applyFont="1" applyBorder="1" applyAlignment="1">
      <alignment horizontal="left" vertical="center"/>
    </xf>
    <xf numFmtId="0" fontId="0" fillId="0" borderId="2" xfId="0" applyBorder="1"/>
    <xf numFmtId="0" fontId="28" fillId="0" borderId="0" xfId="0" applyFont="1" applyAlignment="1">
      <alignment horizontal="left" vertical="center"/>
    </xf>
    <xf numFmtId="0" fontId="30" fillId="8" borderId="0" xfId="0" applyFont="1" applyFill="1" applyAlignment="1">
      <alignment horizontal="center" vertical="center" wrapText="1"/>
    </xf>
    <xf numFmtId="0" fontId="31" fillId="10" borderId="0" xfId="0" applyFont="1" applyFill="1" applyAlignment="1">
      <alignment horizontal="left" vertical="center"/>
    </xf>
    <xf numFmtId="3" fontId="32" fillId="11" borderId="0" xfId="0" applyNumberFormat="1" applyFont="1" applyFill="1" applyAlignment="1">
      <alignment horizontal="center" vertical="center"/>
    </xf>
    <xf numFmtId="3" fontId="29" fillId="0" borderId="0" xfId="0" applyNumberFormat="1" applyFont="1" applyAlignment="1">
      <alignment horizontal="center" vertical="center"/>
    </xf>
    <xf numFmtId="3" fontId="33" fillId="9" borderId="0" xfId="0" applyNumberFormat="1" applyFont="1" applyFill="1" applyAlignment="1">
      <alignment horizontal="center" vertical="center"/>
    </xf>
    <xf numFmtId="3" fontId="34" fillId="12" borderId="0" xfId="0" applyNumberFormat="1" applyFont="1" applyFill="1" applyAlignment="1">
      <alignment horizontal="center" vertical="center"/>
    </xf>
    <xf numFmtId="3" fontId="35" fillId="8" borderId="0" xfId="0" applyNumberFormat="1" applyFont="1" applyFill="1" applyAlignment="1">
      <alignment horizontal="center" vertical="center"/>
    </xf>
    <xf numFmtId="0" fontId="36" fillId="13" borderId="0" xfId="0" applyFont="1" applyFill="1" applyAlignment="1">
      <alignment horizontal="center" vertical="center"/>
    </xf>
    <xf numFmtId="0" fontId="38" fillId="0" borderId="0" xfId="1" quotePrefix="1" applyFont="1" applyAlignment="1">
      <alignment horizontal="left" vertical="center"/>
    </xf>
    <xf numFmtId="0" fontId="25" fillId="0" borderId="0" xfId="1" quotePrefix="1" applyFont="1" applyAlignment="1">
      <alignment horizontal="right"/>
    </xf>
    <xf numFmtId="0" fontId="8" fillId="14" borderId="0" xfId="0" applyFont="1" applyFill="1" applyAlignment="1">
      <alignment horizontal="left" vertical="center"/>
    </xf>
    <xf numFmtId="0" fontId="12" fillId="14" borderId="0" xfId="0" applyFont="1" applyFill="1" applyAlignment="1">
      <alignment horizontal="left" vertical="center"/>
    </xf>
    <xf numFmtId="0" fontId="12" fillId="14" borderId="5" xfId="0" applyFont="1" applyFill="1" applyBorder="1" applyAlignment="1">
      <alignment horizontal="left" vertical="center"/>
    </xf>
    <xf numFmtId="185" fontId="3" fillId="0" borderId="0" xfId="0" applyNumberFormat="1" applyFont="1" applyAlignment="1">
      <alignment horizontal="right" vertical="center"/>
    </xf>
    <xf numFmtId="174" fontId="2" fillId="0" borderId="0" xfId="0" applyNumberFormat="1" applyFont="1" applyAlignment="1">
      <alignment horizontal="right" vertical="center"/>
    </xf>
    <xf numFmtId="182" fontId="2" fillId="0" borderId="0" xfId="0" applyNumberFormat="1" applyFont="1" applyAlignment="1">
      <alignment horizontal="right" vertical="center"/>
    </xf>
    <xf numFmtId="0" fontId="39" fillId="0" borderId="0" xfId="0" applyFont="1"/>
    <xf numFmtId="16" fontId="0" fillId="0" borderId="0" xfId="0" applyNumberFormat="1"/>
    <xf numFmtId="186" fontId="0" fillId="0" borderId="0" xfId="0" applyNumberFormat="1"/>
    <xf numFmtId="0" fontId="40" fillId="0" borderId="0" xfId="0" applyFont="1" applyAlignment="1">
      <alignment horizontal="left" vertical="center"/>
    </xf>
    <xf numFmtId="0" fontId="35" fillId="0" borderId="0" xfId="0" applyFont="1" applyAlignment="1">
      <alignment horizontal="left" vertical="center"/>
    </xf>
    <xf numFmtId="0" fontId="32" fillId="11" borderId="0" xfId="0" applyFont="1" applyFill="1" applyAlignment="1">
      <alignment horizontal="center" vertical="center"/>
    </xf>
    <xf numFmtId="0" fontId="31" fillId="10" borderId="0" xfId="0" applyFont="1" applyFill="1" applyAlignment="1">
      <alignment horizontal="right" vertical="center"/>
    </xf>
    <xf numFmtId="0" fontId="29" fillId="0" borderId="0" xfId="0" applyFont="1" applyAlignment="1">
      <alignment horizontal="left" vertical="center"/>
    </xf>
    <xf numFmtId="0" fontId="29" fillId="0" borderId="0" xfId="0" applyFont="1" applyAlignment="1">
      <alignment horizontal="right" vertical="center"/>
    </xf>
    <xf numFmtId="166" fontId="29" fillId="0" borderId="0" xfId="0" applyNumberFormat="1" applyFont="1" applyAlignment="1">
      <alignment horizontal="right" vertical="center"/>
    </xf>
    <xf numFmtId="165" fontId="29" fillId="0" borderId="0" xfId="0" applyNumberFormat="1" applyFont="1" applyAlignment="1">
      <alignment horizontal="right" vertical="center"/>
    </xf>
    <xf numFmtId="186" fontId="29" fillId="0" borderId="0" xfId="0" applyNumberFormat="1" applyFont="1" applyAlignment="1">
      <alignment horizontal="right" vertical="center"/>
    </xf>
    <xf numFmtId="171" fontId="29" fillId="0" borderId="0" xfId="0" applyNumberFormat="1" applyFont="1" applyAlignment="1">
      <alignment horizontal="right" vertical="center"/>
    </xf>
    <xf numFmtId="186" fontId="35" fillId="0" borderId="0" xfId="0" applyNumberFormat="1" applyFont="1" applyAlignment="1">
      <alignment horizontal="right" vertical="center"/>
    </xf>
    <xf numFmtId="49" fontId="31" fillId="10" borderId="0" xfId="0" applyNumberFormat="1" applyFont="1" applyFill="1" applyAlignment="1">
      <alignment horizontal="right" vertical="center"/>
    </xf>
    <xf numFmtId="0" fontId="29" fillId="0" borderId="0" xfId="0" applyFont="1" applyAlignment="1">
      <alignment horizontal="left" vertical="center" indent="1"/>
    </xf>
    <xf numFmtId="0" fontId="35" fillId="0" borderId="0" xfId="0" applyFont="1" applyAlignment="1">
      <alignment horizontal="left" vertical="center" indent="1"/>
    </xf>
    <xf numFmtId="165" fontId="32" fillId="11" borderId="0" xfId="0" applyNumberFormat="1" applyFont="1" applyFill="1" applyAlignment="1">
      <alignment horizontal="right" vertical="center"/>
    </xf>
    <xf numFmtId="0" fontId="40" fillId="0" borderId="0" xfId="0" applyFont="1" applyAlignment="1">
      <alignment horizontal="left" vertical="center" wrapText="1"/>
    </xf>
    <xf numFmtId="169" fontId="29" fillId="0" borderId="0" xfId="0" applyNumberFormat="1" applyFont="1" applyAlignment="1">
      <alignment horizontal="right" vertical="center"/>
    </xf>
    <xf numFmtId="0" fontId="29" fillId="0" borderId="0" xfId="0" applyFont="1" applyAlignment="1">
      <alignment horizontal="center" vertical="center"/>
    </xf>
    <xf numFmtId="0" fontId="25" fillId="0" borderId="0" xfId="1" applyFont="1" applyAlignment="1">
      <alignment horizontal="right"/>
    </xf>
    <xf numFmtId="168" fontId="29" fillId="0" borderId="0" xfId="0" applyNumberFormat="1" applyFont="1" applyAlignment="1">
      <alignment horizontal="right" vertical="center"/>
    </xf>
    <xf numFmtId="173" fontId="29" fillId="0" borderId="0" xfId="0" applyNumberFormat="1" applyFont="1" applyAlignment="1">
      <alignment horizontal="right" vertical="center"/>
    </xf>
    <xf numFmtId="0" fontId="25" fillId="0" borderId="0" xfId="0" applyFont="1" applyAlignment="1">
      <alignment horizontal="center" vertical="center" wrapText="1"/>
    </xf>
    <xf numFmtId="0" fontId="25" fillId="0" borderId="0" xfId="0" applyFont="1" applyAlignment="1">
      <alignment horizontal="center" wrapText="1"/>
    </xf>
    <xf numFmtId="0" fontId="25" fillId="0" borderId="0" xfId="0" applyFont="1" applyAlignment="1">
      <alignment wrapText="1"/>
    </xf>
    <xf numFmtId="0" fontId="25" fillId="0" borderId="0" xfId="0" applyFont="1" applyAlignment="1">
      <alignment horizontal="left" vertical="center" wrapText="1"/>
    </xf>
    <xf numFmtId="164" fontId="32" fillId="11" borderId="0" xfId="0" applyNumberFormat="1" applyFont="1" applyFill="1" applyAlignment="1">
      <alignment horizontal="center" vertical="center"/>
    </xf>
    <xf numFmtId="168" fontId="0" fillId="0" borderId="0" xfId="0" applyNumberFormat="1"/>
    <xf numFmtId="168" fontId="43" fillId="8" borderId="8" xfId="0" applyNumberFormat="1" applyFont="1" applyFill="1" applyBorder="1" applyAlignment="1">
      <alignment horizontal="left" vertical="center" indent="1"/>
    </xf>
    <xf numFmtId="168" fontId="43" fillId="8" borderId="9" xfId="0" applyNumberFormat="1" applyFont="1" applyFill="1" applyBorder="1" applyAlignment="1">
      <alignment horizontal="left" vertical="center" indent="1"/>
    </xf>
    <xf numFmtId="0" fontId="26" fillId="0" borderId="10" xfId="0" applyFont="1" applyBorder="1"/>
    <xf numFmtId="0" fontId="0" fillId="0" borderId="10" xfId="0" applyBorder="1"/>
    <xf numFmtId="49" fontId="0" fillId="0" borderId="0" xfId="0" applyNumberFormat="1"/>
    <xf numFmtId="174" fontId="0" fillId="0" borderId="0" xfId="0" applyNumberFormat="1"/>
    <xf numFmtId="0" fontId="45" fillId="0" borderId="0" xfId="0" applyFont="1" applyAlignment="1">
      <alignment horizontal="left" vertical="center"/>
    </xf>
    <xf numFmtId="0" fontId="47" fillId="0" borderId="0" xfId="0" applyFont="1" applyAlignment="1">
      <alignment horizontal="left" vertical="center"/>
    </xf>
    <xf numFmtId="0" fontId="48"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horizontal="left" vertical="center"/>
    </xf>
    <xf numFmtId="0" fontId="53" fillId="0" borderId="0" xfId="0" applyFont="1" applyAlignment="1">
      <alignment horizontal="left" vertical="center"/>
    </xf>
    <xf numFmtId="0" fontId="54" fillId="0" borderId="0" xfId="0" applyFont="1" applyAlignment="1">
      <alignment horizontal="left" vertical="center"/>
    </xf>
    <xf numFmtId="0" fontId="55" fillId="0" borderId="0" xfId="0" applyFont="1" applyAlignment="1">
      <alignment horizontal="left" vertical="center"/>
    </xf>
    <xf numFmtId="0" fontId="0" fillId="0" borderId="0" xfId="0" applyAlignment="1">
      <alignment horizontal="left" vertical="center"/>
    </xf>
    <xf numFmtId="0" fontId="56" fillId="0" borderId="0" xfId="0" applyFont="1" applyAlignment="1">
      <alignment horizontal="left" vertical="center"/>
    </xf>
    <xf numFmtId="0" fontId="33" fillId="0" borderId="0" xfId="0" applyFont="1" applyAlignment="1">
      <alignment horizontal="right" vertical="center"/>
    </xf>
    <xf numFmtId="0" fontId="57" fillId="0" borderId="0" xfId="0" applyFont="1" applyAlignment="1">
      <alignment horizontal="right"/>
    </xf>
    <xf numFmtId="0" fontId="0" fillId="8" borderId="0" xfId="0" applyFill="1"/>
    <xf numFmtId="0" fontId="7" fillId="0" borderId="1" xfId="0" applyFont="1" applyBorder="1" applyAlignment="1">
      <alignment horizontal="left" vertical="center"/>
    </xf>
    <xf numFmtId="0" fontId="7" fillId="0" borderId="2" xfId="0" applyFont="1" applyBorder="1" applyAlignment="1">
      <alignment horizontal="left" vertical="center"/>
    </xf>
    <xf numFmtId="0" fontId="18" fillId="0" borderId="12" xfId="0" applyFont="1" applyBorder="1" applyAlignment="1">
      <alignment horizontal="left" vertical="center" indent="1"/>
    </xf>
    <xf numFmtId="0" fontId="0" fillId="0" borderId="12" xfId="0" applyBorder="1"/>
    <xf numFmtId="0" fontId="12" fillId="0" borderId="12" xfId="0" applyFont="1" applyBorder="1" applyAlignment="1">
      <alignment horizontal="left" vertical="center"/>
    </xf>
    <xf numFmtId="0" fontId="35" fillId="8" borderId="0" xfId="0" applyFont="1" applyFill="1" applyAlignment="1">
      <alignment horizontal="right" vertical="center" indent="1"/>
    </xf>
    <xf numFmtId="0" fontId="28" fillId="8" borderId="8" xfId="0" applyFont="1" applyFill="1" applyBorder="1" applyAlignment="1">
      <alignment horizontal="left" vertical="center" indent="1"/>
    </xf>
    <xf numFmtId="0" fontId="40" fillId="8" borderId="8" xfId="0" applyFont="1" applyFill="1" applyBorder="1" applyAlignment="1">
      <alignment horizontal="left" vertical="center" indent="1"/>
    </xf>
    <xf numFmtId="0" fontId="28" fillId="8" borderId="9" xfId="0" applyFont="1" applyFill="1" applyBorder="1" applyAlignment="1">
      <alignment horizontal="left" vertical="center" indent="1"/>
    </xf>
    <xf numFmtId="0" fontId="40" fillId="8" borderId="9" xfId="0" applyFont="1" applyFill="1" applyBorder="1" applyAlignment="1">
      <alignment horizontal="left" vertical="center" indent="1"/>
    </xf>
    <xf numFmtId="0" fontId="6" fillId="8" borderId="1" xfId="0" applyFont="1" applyFill="1" applyBorder="1" applyAlignment="1">
      <alignment horizontal="left" wrapText="1"/>
    </xf>
    <xf numFmtId="0" fontId="6" fillId="8" borderId="1" xfId="0" applyFont="1" applyFill="1" applyBorder="1" applyAlignment="1">
      <alignment horizontal="right" wrapText="1"/>
    </xf>
    <xf numFmtId="0" fontId="59" fillId="4" borderId="0" xfId="0" applyFont="1" applyFill="1" applyAlignment="1">
      <alignment horizontal="left" vertical="center"/>
    </xf>
    <xf numFmtId="179" fontId="60" fillId="4" borderId="0" xfId="0" applyNumberFormat="1" applyFont="1" applyFill="1" applyAlignment="1">
      <alignment horizontal="right" vertical="center"/>
    </xf>
    <xf numFmtId="179" fontId="61" fillId="4" borderId="0" xfId="0" applyNumberFormat="1" applyFont="1" applyFill="1" applyAlignment="1">
      <alignment horizontal="right" vertical="center"/>
    </xf>
    <xf numFmtId="0" fontId="62" fillId="5" borderId="0" xfId="0" applyFont="1" applyFill="1" applyAlignment="1">
      <alignment horizontal="left" vertical="center"/>
    </xf>
    <xf numFmtId="179" fontId="60" fillId="5" borderId="0" xfId="0" applyNumberFormat="1" applyFont="1" applyFill="1" applyAlignment="1">
      <alignment horizontal="right" vertical="center"/>
    </xf>
    <xf numFmtId="179" fontId="61" fillId="5" borderId="0" xfId="0" applyNumberFormat="1" applyFont="1" applyFill="1" applyAlignment="1">
      <alignment horizontal="right" vertical="center"/>
    </xf>
    <xf numFmtId="0" fontId="60" fillId="0" borderId="3" xfId="0" applyFont="1" applyBorder="1" applyAlignment="1">
      <alignment horizontal="left" vertical="center"/>
    </xf>
    <xf numFmtId="0" fontId="61" fillId="0" borderId="3" xfId="0" applyFont="1" applyBorder="1" applyAlignment="1">
      <alignment horizontal="left" vertical="center"/>
    </xf>
    <xf numFmtId="169" fontId="60" fillId="0" borderId="3" xfId="0" applyNumberFormat="1" applyFont="1" applyBorder="1" applyAlignment="1">
      <alignment horizontal="right" vertical="center"/>
    </xf>
    <xf numFmtId="0" fontId="28" fillId="8" borderId="1" xfId="0" applyFont="1" applyFill="1" applyBorder="1"/>
    <xf numFmtId="0" fontId="18" fillId="0" borderId="0" xfId="0" applyFont="1" applyAlignment="1">
      <alignment horizontal="left" vertical="center"/>
    </xf>
    <xf numFmtId="164" fontId="18" fillId="0" borderId="0" xfId="0" applyNumberFormat="1" applyFont="1" applyAlignment="1">
      <alignment horizontal="right" vertical="center"/>
    </xf>
    <xf numFmtId="174" fontId="18" fillId="0" borderId="0" xfId="0" applyNumberFormat="1" applyFont="1" applyAlignment="1">
      <alignment horizontal="right" vertical="center"/>
    </xf>
    <xf numFmtId="165" fontId="18" fillId="0" borderId="0" xfId="0" applyNumberFormat="1" applyFont="1" applyAlignment="1">
      <alignment horizontal="right" vertical="center"/>
    </xf>
    <xf numFmtId="0" fontId="63" fillId="0" borderId="0" xfId="0" applyFont="1"/>
    <xf numFmtId="0" fontId="61" fillId="0" borderId="0" xfId="0" applyFont="1" applyAlignment="1">
      <alignment horizontal="left" vertical="center"/>
    </xf>
    <xf numFmtId="164" fontId="61" fillId="0" borderId="0" xfId="0" applyNumberFormat="1" applyFont="1" applyAlignment="1">
      <alignment horizontal="right" vertical="center"/>
    </xf>
    <xf numFmtId="174" fontId="61" fillId="0" borderId="0" xfId="0" applyNumberFormat="1" applyFont="1" applyAlignment="1">
      <alignment horizontal="right" vertical="center"/>
    </xf>
    <xf numFmtId="165" fontId="61" fillId="0" borderId="0" xfId="0" applyNumberFormat="1" applyFont="1" applyAlignment="1">
      <alignment horizontal="right" vertical="center"/>
    </xf>
    <xf numFmtId="174" fontId="60" fillId="0" borderId="0" xfId="0" applyNumberFormat="1" applyFont="1" applyAlignment="1">
      <alignment horizontal="right" vertical="center"/>
    </xf>
    <xf numFmtId="0" fontId="28" fillId="8" borderId="1" xfId="0" applyFont="1" applyFill="1" applyBorder="1" applyAlignment="1">
      <alignment horizontal="left" vertical="center"/>
    </xf>
    <xf numFmtId="0" fontId="28" fillId="8" borderId="1" xfId="0" applyFont="1" applyFill="1" applyBorder="1" applyAlignment="1">
      <alignment horizontal="right" vertical="center"/>
    </xf>
    <xf numFmtId="49" fontId="28" fillId="8" borderId="1" xfId="0" applyNumberFormat="1" applyFont="1" applyFill="1" applyBorder="1" applyAlignment="1">
      <alignment horizontal="right" vertical="center"/>
    </xf>
    <xf numFmtId="0" fontId="30" fillId="0" borderId="0" xfId="0" applyFont="1" applyAlignment="1">
      <alignment horizontal="left" vertical="center"/>
    </xf>
    <xf numFmtId="186" fontId="64" fillId="0" borderId="0" xfId="0" applyNumberFormat="1" applyFont="1" applyAlignment="1">
      <alignment horizontal="right" vertical="center"/>
    </xf>
    <xf numFmtId="186" fontId="30" fillId="0" borderId="0" xfId="0" applyNumberFormat="1" applyFont="1" applyAlignment="1">
      <alignment horizontal="right" vertical="center"/>
    </xf>
    <xf numFmtId="0" fontId="64" fillId="0" borderId="0" xfId="0" applyFont="1" applyAlignment="1">
      <alignment horizontal="left" vertical="center" indent="1"/>
    </xf>
    <xf numFmtId="165" fontId="64" fillId="0" borderId="0" xfId="0" applyNumberFormat="1" applyFont="1" applyAlignment="1">
      <alignment horizontal="right" vertical="center"/>
    </xf>
    <xf numFmtId="165" fontId="63" fillId="0" borderId="0" xfId="0" applyNumberFormat="1" applyFont="1"/>
    <xf numFmtId="0" fontId="6" fillId="8" borderId="1" xfId="0" applyFont="1" applyFill="1" applyBorder="1" applyAlignment="1">
      <alignment horizontal="left"/>
    </xf>
    <xf numFmtId="0" fontId="6" fillId="8" borderId="1" xfId="0" applyFont="1" applyFill="1" applyBorder="1" applyAlignment="1">
      <alignment horizontal="right"/>
    </xf>
    <xf numFmtId="0" fontId="18" fillId="3" borderId="0" xfId="0" applyFont="1" applyFill="1" applyAlignment="1">
      <alignment horizontal="left" vertical="center"/>
    </xf>
    <xf numFmtId="185" fontId="18" fillId="3" borderId="0" xfId="0" applyNumberFormat="1" applyFont="1" applyFill="1" applyAlignment="1">
      <alignment horizontal="right" vertical="center"/>
    </xf>
    <xf numFmtId="185" fontId="60" fillId="3" borderId="0" xfId="0" applyNumberFormat="1" applyFont="1" applyFill="1" applyAlignment="1">
      <alignment horizontal="right" vertical="center"/>
    </xf>
    <xf numFmtId="0" fontId="61" fillId="0" borderId="0" xfId="0" applyFont="1" applyAlignment="1">
      <alignment horizontal="left" vertical="center" indent="1"/>
    </xf>
    <xf numFmtId="184" fontId="61" fillId="0" borderId="0" xfId="0" applyNumberFormat="1" applyFont="1" applyAlignment="1">
      <alignment horizontal="right" vertical="center"/>
    </xf>
    <xf numFmtId="185" fontId="61" fillId="0" borderId="0" xfId="0" applyNumberFormat="1" applyFont="1" applyAlignment="1">
      <alignment horizontal="right" vertical="center"/>
    </xf>
    <xf numFmtId="0" fontId="61" fillId="3" borderId="0" xfId="0" applyFont="1" applyFill="1" applyAlignment="1">
      <alignment horizontal="left" vertical="center"/>
    </xf>
    <xf numFmtId="179" fontId="61" fillId="0" borderId="0" xfId="0" applyNumberFormat="1" applyFont="1" applyAlignment="1">
      <alignment horizontal="right" vertical="center"/>
    </xf>
    <xf numFmtId="179" fontId="18" fillId="0" borderId="0" xfId="0" applyNumberFormat="1" applyFont="1" applyAlignment="1">
      <alignment horizontal="right" vertical="center"/>
    </xf>
    <xf numFmtId="0" fontId="61" fillId="0" borderId="0" xfId="0" applyFont="1" applyAlignment="1">
      <alignment horizontal="right" vertical="center"/>
    </xf>
    <xf numFmtId="180" fontId="61" fillId="0" borderId="0" xfId="0" applyNumberFormat="1" applyFont="1" applyAlignment="1">
      <alignment horizontal="right" vertical="center"/>
    </xf>
    <xf numFmtId="181" fontId="61" fillId="0" borderId="0" xfId="0" applyNumberFormat="1" applyFont="1" applyAlignment="1">
      <alignment horizontal="right" vertical="center"/>
    </xf>
    <xf numFmtId="181" fontId="18" fillId="0" borderId="0" xfId="0" applyNumberFormat="1" applyFont="1" applyAlignment="1">
      <alignment horizontal="right" vertical="center"/>
    </xf>
    <xf numFmtId="166" fontId="61" fillId="0" borderId="0" xfId="0" applyNumberFormat="1" applyFont="1" applyAlignment="1">
      <alignment horizontal="right" vertical="center"/>
    </xf>
    <xf numFmtId="168" fontId="18" fillId="0" borderId="0" xfId="0" applyNumberFormat="1" applyFont="1" applyAlignment="1">
      <alignment horizontal="right" vertical="center"/>
    </xf>
    <xf numFmtId="180" fontId="18" fillId="0" borderId="0" xfId="0" applyNumberFormat="1" applyFont="1" applyAlignment="1">
      <alignment horizontal="right" vertical="center"/>
    </xf>
    <xf numFmtId="166" fontId="18" fillId="0" borderId="0" xfId="0" applyNumberFormat="1" applyFont="1" applyAlignment="1">
      <alignment horizontal="right" vertical="center"/>
    </xf>
    <xf numFmtId="164" fontId="60" fillId="0" borderId="0" xfId="0" applyNumberFormat="1" applyFont="1" applyAlignment="1">
      <alignment horizontal="right" vertical="center"/>
    </xf>
    <xf numFmtId="0" fontId="65" fillId="0" borderId="0" xfId="0" applyFont="1" applyAlignment="1">
      <alignment horizontal="right" vertical="center"/>
    </xf>
    <xf numFmtId="0" fontId="6" fillId="0" borderId="0" xfId="0" applyFont="1" applyAlignment="1">
      <alignment horizontal="right" vertical="center"/>
    </xf>
    <xf numFmtId="0" fontId="27" fillId="8" borderId="0" xfId="0" applyFont="1" applyFill="1" applyAlignment="1">
      <alignment horizontal="left" vertical="center" wrapText="1" indent="1"/>
    </xf>
    <xf numFmtId="0" fontId="29" fillId="0" borderId="0" xfId="0" applyFont="1" applyAlignment="1">
      <alignment horizontal="left" vertical="center" wrapText="1" indent="1"/>
    </xf>
    <xf numFmtId="0" fontId="31" fillId="10" borderId="0" xfId="0" applyFont="1" applyFill="1" applyAlignment="1">
      <alignment horizontal="lef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25" fillId="0" borderId="0" xfId="0" applyFont="1" applyAlignment="1">
      <alignment horizontal="left" vertical="top" wrapText="1"/>
    </xf>
    <xf numFmtId="0" fontId="25" fillId="0" borderId="0" xfId="0" applyFont="1" applyAlignment="1">
      <alignment horizontal="left" vertical="center" wrapText="1"/>
    </xf>
    <xf numFmtId="0" fontId="41" fillId="0" borderId="7" xfId="0" applyFont="1" applyBorder="1" applyAlignment="1">
      <alignment horizontal="left" vertical="center" indent="1"/>
    </xf>
    <xf numFmtId="0" fontId="29" fillId="0" borderId="7" xfId="0" applyFont="1" applyBorder="1" applyAlignment="1">
      <alignment horizontal="left" vertical="center"/>
    </xf>
    <xf numFmtId="0" fontId="42" fillId="0" borderId="0" xfId="0" applyFont="1" applyAlignment="1">
      <alignment horizontal="left" vertical="center" indent="1"/>
    </xf>
    <xf numFmtId="0" fontId="27" fillId="8" borderId="7" xfId="0" applyFont="1" applyFill="1" applyBorder="1" applyAlignment="1">
      <alignment horizontal="left" vertical="center" indent="1"/>
    </xf>
    <xf numFmtId="0" fontId="0" fillId="0" borderId="7" xfId="0" applyBorder="1" applyAlignment="1">
      <alignment horizontal="left" vertical="center" indent="1"/>
    </xf>
    <xf numFmtId="0" fontId="7" fillId="8" borderId="5" xfId="0" applyFont="1" applyFill="1" applyBorder="1" applyAlignment="1">
      <alignment horizontal="left" vertical="top" indent="1"/>
    </xf>
    <xf numFmtId="0" fontId="7" fillId="8" borderId="0" xfId="0" applyFont="1" applyFill="1" applyAlignment="1">
      <alignment horizontal="left" vertical="top" indent="1"/>
    </xf>
    <xf numFmtId="0" fontId="6" fillId="8" borderId="5" xfId="0" applyFont="1" applyFill="1" applyBorder="1" applyAlignment="1">
      <alignment horizontal="left" indent="1"/>
    </xf>
    <xf numFmtId="0" fontId="6" fillId="8" borderId="0" xfId="0" applyFont="1" applyFill="1" applyAlignment="1">
      <alignment horizontal="left" indent="1"/>
    </xf>
    <xf numFmtId="168" fontId="13" fillId="8" borderId="5" xfId="0" applyNumberFormat="1" applyFont="1" applyFill="1" applyBorder="1" applyAlignment="1">
      <alignment horizontal="left" vertical="center" indent="1"/>
    </xf>
    <xf numFmtId="168" fontId="13" fillId="8" borderId="0" xfId="0" applyNumberFormat="1" applyFont="1" applyFill="1" applyAlignment="1">
      <alignment horizontal="left" vertical="center" indent="1"/>
    </xf>
    <xf numFmtId="191" fontId="7" fillId="8" borderId="5" xfId="0" applyNumberFormat="1" applyFont="1" applyFill="1" applyBorder="1" applyAlignment="1">
      <alignment horizontal="left" vertical="center"/>
    </xf>
    <xf numFmtId="0" fontId="7" fillId="8" borderId="0" xfId="0" applyFont="1" applyFill="1" applyAlignment="1">
      <alignment horizontal="left" vertical="center"/>
    </xf>
    <xf numFmtId="0" fontId="4" fillId="15" borderId="2" xfId="0" applyFont="1" applyFill="1" applyBorder="1" applyAlignment="1">
      <alignment horizontal="center" vertical="center"/>
    </xf>
    <xf numFmtId="0" fontId="46" fillId="0" borderId="2" xfId="0" applyFont="1" applyBorder="1" applyAlignment="1">
      <alignment horizontal="center" vertical="center"/>
    </xf>
    <xf numFmtId="187" fontId="13" fillId="8" borderId="0" xfId="0" applyNumberFormat="1" applyFont="1" applyFill="1" applyAlignment="1">
      <alignment horizontal="left" vertical="center" indent="1"/>
    </xf>
    <xf numFmtId="191" fontId="7" fillId="8" borderId="0" xfId="0" applyNumberFormat="1" applyFont="1" applyFill="1" applyAlignment="1">
      <alignment horizontal="left" vertical="center"/>
    </xf>
    <xf numFmtId="187" fontId="13" fillId="8" borderId="5" xfId="0" applyNumberFormat="1" applyFont="1" applyFill="1" applyBorder="1" applyAlignment="1">
      <alignment horizontal="left" vertical="center" indent="1"/>
    </xf>
    <xf numFmtId="187" fontId="14" fillId="8" borderId="5" xfId="0" applyNumberFormat="1" applyFont="1" applyFill="1" applyBorder="1" applyAlignment="1">
      <alignment horizontal="left" vertical="center" indent="1"/>
    </xf>
    <xf numFmtId="187" fontId="14" fillId="8" borderId="0" xfId="0" applyNumberFormat="1" applyFont="1" applyFill="1" applyAlignment="1">
      <alignment horizontal="left" vertical="center" indent="1"/>
    </xf>
    <xf numFmtId="0" fontId="7" fillId="8" borderId="5" xfId="0" applyFont="1" applyFill="1" applyBorder="1" applyAlignment="1">
      <alignment horizontal="left" vertical="center"/>
    </xf>
    <xf numFmtId="0" fontId="7" fillId="0" borderId="7" xfId="0" applyFont="1" applyBorder="1" applyAlignment="1">
      <alignment horizontal="left" vertical="center" wrapText="1"/>
    </xf>
    <xf numFmtId="0" fontId="0" fillId="0" borderId="0" xfId="0" applyAlignment="1">
      <alignment horizontal="left" vertical="center" wrapText="1"/>
    </xf>
    <xf numFmtId="0" fontId="7" fillId="0" borderId="0" xfId="0" applyFont="1" applyAlignment="1">
      <alignment horizontal="left" vertical="center" wrapText="1"/>
    </xf>
    <xf numFmtId="0" fontId="40" fillId="0" borderId="0" xfId="0" applyFont="1" applyAlignment="1">
      <alignment horizontal="left" vertical="center" wrapText="1"/>
    </xf>
    <xf numFmtId="0" fontId="40" fillId="0" borderId="7" xfId="0" applyFont="1" applyBorder="1" applyAlignment="1">
      <alignment horizontal="left" vertical="center" wrapText="1"/>
    </xf>
    <xf numFmtId="0" fontId="0" fillId="0" borderId="7" xfId="0" applyBorder="1" applyAlignment="1">
      <alignment horizontal="left" vertical="center" wrapText="1"/>
    </xf>
    <xf numFmtId="0" fontId="28" fillId="8" borderId="0" xfId="0" applyFont="1" applyFill="1" applyAlignment="1">
      <alignment horizontal="left" indent="1"/>
    </xf>
    <xf numFmtId="0" fontId="0" fillId="8" borderId="0" xfId="0" applyFill="1" applyAlignment="1">
      <alignment horizontal="left" indent="1"/>
    </xf>
    <xf numFmtId="188" fontId="44" fillId="8" borderId="0" xfId="0" applyNumberFormat="1" applyFont="1" applyFill="1" applyAlignment="1">
      <alignment horizontal="left" vertical="center" indent="1"/>
    </xf>
    <xf numFmtId="0" fontId="0" fillId="8" borderId="0" xfId="0" applyFill="1" applyAlignment="1">
      <alignment horizontal="left" vertical="center" indent="1"/>
    </xf>
    <xf numFmtId="0" fontId="40" fillId="8" borderId="0" xfId="0" applyFont="1" applyFill="1" applyAlignment="1">
      <alignment horizontal="left" vertical="top" wrapText="1" indent="1"/>
    </xf>
    <xf numFmtId="0" fontId="0" fillId="8" borderId="0" xfId="0" applyFill="1" applyAlignment="1">
      <alignment horizontal="left" vertical="top" wrapText="1" indent="1"/>
    </xf>
    <xf numFmtId="0" fontId="0" fillId="8" borderId="13" xfId="0" applyFill="1" applyBorder="1" applyAlignment="1">
      <alignment horizontal="left" vertical="top" wrapText="1" indent="1"/>
    </xf>
    <xf numFmtId="0" fontId="28" fillId="8" borderId="11" xfId="0" applyFont="1" applyFill="1" applyBorder="1" applyAlignment="1">
      <alignment horizontal="left" indent="1"/>
    </xf>
    <xf numFmtId="189" fontId="44" fillId="8" borderId="11" xfId="0" applyNumberFormat="1" applyFont="1" applyFill="1" applyBorder="1" applyAlignment="1">
      <alignment horizontal="left" vertical="center" indent="1"/>
    </xf>
    <xf numFmtId="0" fontId="40" fillId="8" borderId="11" xfId="0" applyFont="1" applyFill="1" applyBorder="1" applyAlignment="1">
      <alignment horizontal="left" vertical="top" wrapText="1" indent="1"/>
    </xf>
    <xf numFmtId="190" fontId="44" fillId="8" borderId="11" xfId="0" applyNumberFormat="1" applyFont="1" applyFill="1" applyBorder="1" applyAlignment="1">
      <alignment horizontal="left" vertical="center" indent="1"/>
    </xf>
    <xf numFmtId="0" fontId="11" fillId="0" borderId="0" xfId="0" applyFont="1" applyAlignment="1">
      <alignment horizontal="left" vertical="center" wrapText="1"/>
    </xf>
    <xf numFmtId="0" fontId="58" fillId="13" borderId="0" xfId="0" applyFont="1" applyFill="1" applyAlignment="1">
      <alignment horizontal="left" vertical="center" indent="1"/>
    </xf>
    <xf numFmtId="0" fontId="15" fillId="0" borderId="0" xfId="0" applyFont="1" applyAlignment="1">
      <alignment horizontal="left" vertical="center" indent="1"/>
    </xf>
    <xf numFmtId="0" fontId="31" fillId="10" borderId="0" xfId="0" applyFont="1" applyFill="1" applyAlignment="1">
      <alignment horizontal="left" vertical="center" indent="1"/>
    </xf>
    <xf numFmtId="0" fontId="40" fillId="0" borderId="0" xfId="0" applyFont="1" applyAlignment="1">
      <alignment horizontal="left" vertical="center" indent="1"/>
    </xf>
    <xf numFmtId="0" fontId="0" fillId="0" borderId="0" xfId="0" applyAlignment="1">
      <alignment horizontal="left" indent="1"/>
    </xf>
  </cellXfs>
  <cellStyles count="2">
    <cellStyle name="Hyperlink" xfId="1" builtinId="8"/>
    <cellStyle name="Normal" xfId="0" builtinId="0"/>
  </cellStyles>
  <dxfs count="58">
    <dxf>
      <font>
        <b/>
        <i val="0"/>
        <color rgb="FF9C1F2E"/>
      </font>
      <fill>
        <patternFill>
          <bgColor rgb="FFF7E4E6"/>
        </patternFill>
      </fill>
    </dxf>
    <dxf>
      <font>
        <b/>
        <i val="0"/>
        <color rgb="FF1E6B3A"/>
      </font>
      <fill>
        <patternFill>
          <bgColor rgb="FFE3F0E7"/>
        </patternFill>
      </fill>
    </dxf>
    <dxf>
      <font>
        <b/>
        <i val="0"/>
        <color rgb="FF9C1F2E"/>
      </font>
      <fill>
        <patternFill>
          <bgColor rgb="FFF7E4E6"/>
        </patternFill>
      </fill>
    </dxf>
    <dxf>
      <font>
        <b/>
        <i val="0"/>
        <color rgb="FF1E6B3A"/>
      </font>
      <fill>
        <patternFill>
          <bgColor rgb="FFE3F0E7"/>
        </patternFill>
      </fill>
    </dxf>
    <dxf>
      <font>
        <b/>
        <i val="0"/>
        <color rgb="FF9C1F2E"/>
      </font>
      <fill>
        <patternFill>
          <bgColor rgb="FFF7E4E6"/>
        </patternFill>
      </fill>
    </dxf>
    <dxf>
      <font>
        <b/>
        <i val="0"/>
        <color rgb="FF1E6B3A"/>
      </font>
      <fill>
        <patternFill>
          <bgColor rgb="FFE3F0E7"/>
        </patternFill>
      </fill>
    </dxf>
    <dxf>
      <font>
        <b/>
        <i val="0"/>
        <color rgb="FF595959"/>
      </font>
    </dxf>
    <dxf>
      <font>
        <b/>
        <i val="0"/>
        <color rgb="FF9C6516"/>
      </font>
    </dxf>
    <dxf>
      <font>
        <b/>
        <i val="0"/>
        <color rgb="FF9C1F2E"/>
      </font>
    </dxf>
    <dxf>
      <font>
        <b/>
        <i val="0"/>
        <color rgb="FF9C1F2E"/>
      </font>
      <fill>
        <patternFill>
          <bgColor rgb="FFF7E4E6"/>
        </patternFill>
      </fill>
    </dxf>
    <dxf>
      <font>
        <b/>
        <i val="0"/>
        <color rgb="FF1E6B3A"/>
      </font>
      <fill>
        <patternFill>
          <bgColor rgb="FFE3F0E7"/>
        </patternFill>
      </fill>
    </dxf>
    <dxf>
      <font>
        <b/>
        <sz val="10"/>
        <color rgb="FF9C1F2E"/>
        <name val="Calibri"/>
      </font>
    </dxf>
    <dxf>
      <font>
        <b/>
        <sz val="10"/>
        <color rgb="FF1E6B3A"/>
        <name val="Calibri"/>
      </font>
    </dxf>
    <dxf>
      <font>
        <b val="0"/>
        <i val="0"/>
        <color rgb="FF9C1F2E"/>
      </font>
    </dxf>
    <dxf>
      <font>
        <b val="0"/>
        <i val="0"/>
        <color rgb="FF1E6B3A"/>
      </font>
    </dxf>
    <dxf>
      <font>
        <sz val="10"/>
        <color rgb="FF1E6B3A"/>
        <name val="Calibri"/>
      </font>
    </dxf>
    <dxf>
      <font>
        <sz val="10"/>
        <color rgb="FF9C1F2E"/>
        <name val="Calibri"/>
      </font>
    </dxf>
    <dxf>
      <font>
        <sz val="10"/>
        <color rgb="FF1E6B3A"/>
        <name val="Calibri"/>
      </font>
    </dxf>
    <dxf>
      <font>
        <sz val="10"/>
        <color rgb="FF9C1F2E"/>
        <name val="Calibri"/>
      </font>
    </dxf>
    <dxf>
      <font>
        <sz val="10"/>
        <color rgb="FF1E6B3A"/>
        <name val="Calibri"/>
      </font>
    </dxf>
    <dxf>
      <font>
        <sz val="10"/>
        <color rgb="FF9C1F2E"/>
        <name val="Calibri"/>
      </font>
    </dxf>
    <dxf>
      <font>
        <b/>
        <sz val="10"/>
        <color rgb="FF9C1F2E"/>
        <name val="Calibri"/>
      </font>
    </dxf>
    <dxf>
      <font>
        <b/>
        <sz val="10"/>
        <color rgb="FF1E6B3A"/>
        <name val="Calibri"/>
      </font>
    </dxf>
    <dxf>
      <font>
        <b val="0"/>
        <i val="0"/>
        <color rgb="FF9C1F2E"/>
      </font>
    </dxf>
    <dxf>
      <font>
        <b val="0"/>
        <i val="0"/>
        <color rgb="FF1E6B3A"/>
      </font>
    </dxf>
    <dxf>
      <font>
        <b/>
        <i val="0"/>
        <color rgb="FF9C1F2E"/>
      </font>
      <fill>
        <patternFill>
          <bgColor rgb="FFF7E4E6"/>
        </patternFill>
      </fill>
    </dxf>
    <dxf>
      <font>
        <b/>
        <i val="0"/>
        <color rgb="FF1E6B3A"/>
      </font>
      <fill>
        <patternFill>
          <bgColor rgb="FFE3F0E7"/>
        </patternFill>
      </fill>
    </dxf>
    <dxf>
      <font>
        <b/>
        <i val="0"/>
        <color rgb="FF9C1F2E"/>
      </font>
      <fill>
        <patternFill>
          <bgColor rgb="FFF7E4E6"/>
        </patternFill>
      </fill>
    </dxf>
    <dxf>
      <font>
        <b/>
        <i val="0"/>
        <color rgb="FF1E6B3A"/>
      </font>
      <fill>
        <patternFill>
          <bgColor rgb="FFE3F0E7"/>
        </patternFill>
      </fill>
    </dxf>
    <dxf>
      <font>
        <b/>
        <i val="0"/>
        <color rgb="FF1E6B3A"/>
      </font>
    </dxf>
    <dxf>
      <font>
        <b/>
        <i val="0"/>
        <color rgb="FF9C1F2E"/>
      </font>
    </dxf>
    <dxf>
      <font>
        <sz val="10"/>
        <color rgb="FF1E6B3A"/>
        <name val="Calibri"/>
      </font>
    </dxf>
    <dxf>
      <font>
        <sz val="10"/>
        <color rgb="FF9C1F2E"/>
        <name val="Calibri"/>
      </font>
    </dxf>
    <dxf>
      <font>
        <b/>
        <i val="0"/>
        <color rgb="FF9C1F2E"/>
      </font>
      <fill>
        <patternFill>
          <bgColor rgb="FFF7E4E6"/>
        </patternFill>
      </fill>
    </dxf>
    <dxf>
      <font>
        <b/>
        <i val="0"/>
        <color rgb="FF1E6B3A"/>
      </font>
      <fill>
        <patternFill>
          <bgColor rgb="FFE3F0E7"/>
        </patternFill>
      </fill>
    </dxf>
    <dxf>
      <font>
        <b/>
        <i val="0"/>
        <color rgb="FF9C1F2E"/>
      </font>
      <fill>
        <patternFill>
          <bgColor rgb="FFF7E4E6"/>
        </patternFill>
      </fill>
    </dxf>
    <dxf>
      <font>
        <b/>
        <i val="0"/>
        <color rgb="FF1E6B3A"/>
      </font>
      <fill>
        <patternFill>
          <bgColor rgb="FFE3F0E7"/>
        </patternFill>
      </fill>
    </dxf>
    <dxf>
      <font>
        <b/>
        <i val="0"/>
        <color rgb="FF9C1F2E"/>
      </font>
      <fill>
        <patternFill>
          <bgColor rgb="FFF7E4E6"/>
        </patternFill>
      </fill>
    </dxf>
    <dxf>
      <font>
        <b/>
        <i val="0"/>
        <color rgb="FF1E6B3A"/>
      </font>
      <fill>
        <patternFill>
          <bgColor rgb="FFE3F0E7"/>
        </patternFill>
      </fill>
    </dxf>
    <dxf>
      <font>
        <strike val="0"/>
        <outline val="0"/>
        <shadow val="0"/>
        <u val="none"/>
        <vertAlign val="baseline"/>
        <name val="Calibri"/>
      </font>
      <alignment horizontal="center" vertical="center" textRotation="0" wrapText="0" indent="0" justifyLastLine="0" shrinkToFit="0" readingOrder="0"/>
    </dxf>
    <dxf>
      <font>
        <strike val="0"/>
        <outline val="0"/>
        <shadow val="0"/>
        <u val="none"/>
        <vertAlign val="baseline"/>
        <name val="Calibri"/>
      </font>
    </dxf>
    <dxf>
      <font>
        <strike val="0"/>
        <outline val="0"/>
        <shadow val="0"/>
        <u val="none"/>
        <vertAlign val="baseline"/>
        <name val="Calibri"/>
      </font>
      <alignment horizontal="left" vertical="center" textRotation="0" wrapText="1" indent="0" justifyLastLine="0" shrinkToFit="0" readingOrder="0"/>
    </dxf>
    <dxf>
      <font>
        <strike val="0"/>
        <outline val="0"/>
        <shadow val="0"/>
        <u val="none"/>
        <vertAlign val="baseline"/>
        <name val="Calibri"/>
      </font>
    </dxf>
    <dxf>
      <font>
        <strike val="0"/>
        <outline val="0"/>
        <shadow val="0"/>
        <u val="none"/>
        <vertAlign val="baseline"/>
        <name val="Calibri"/>
      </font>
    </dxf>
    <dxf>
      <font>
        <strike val="0"/>
        <outline val="0"/>
        <shadow val="0"/>
        <u val="none"/>
        <vertAlign val="baseline"/>
        <name val="Calibri"/>
      </font>
    </dxf>
    <dxf>
      <font>
        <strike val="0"/>
        <outline val="0"/>
        <shadow val="0"/>
        <u val="none"/>
        <vertAlign val="baseline"/>
        <name val="Calibri"/>
      </font>
    </dxf>
    <dxf>
      <font>
        <strike val="0"/>
        <outline val="0"/>
        <shadow val="0"/>
        <u val="none"/>
        <vertAlign val="baseline"/>
        <name val="Calibri"/>
      </font>
    </dxf>
    <dxf>
      <numFmt numFmtId="186" formatCode="&quot;$&quot;#,##0;\(&quot;$&quot;#,##0\);&quot;-&quot;"/>
    </dxf>
    <dxf>
      <numFmt numFmtId="186" formatCode="&quot;$&quot;#,##0;\(&quot;$&quot;#,##0\);&quot;-&quot;"/>
    </dxf>
    <dxf>
      <numFmt numFmtId="186" formatCode="&quot;$&quot;#,##0;\(&quot;$&quot;#,##0\);&quot;-&quot;"/>
    </dxf>
    <dxf>
      <numFmt numFmtId="21" formatCode="dd/mmm"/>
    </dxf>
    <dxf>
      <font>
        <b/>
        <i val="0"/>
        <strike val="0"/>
        <condense val="0"/>
        <extend val="0"/>
        <outline val="0"/>
        <shadow val="0"/>
        <u val="none"/>
        <vertAlign val="baseline"/>
        <sz val="11"/>
        <color theme="1"/>
        <name val="Calibri"/>
        <family val="2"/>
        <scheme val="minor"/>
      </font>
    </dxf>
    <dxf>
      <numFmt numFmtId="186" formatCode="&quot;$&quot;#,##0;\(&quot;$&quot;#,##0\);&quot;-&quot;"/>
    </dxf>
    <dxf>
      <numFmt numFmtId="186" formatCode="&quot;$&quot;#,##0;\(&quot;$&quot;#,##0\);&quot;-&quot;"/>
    </dxf>
    <dxf>
      <numFmt numFmtId="186" formatCode="&quot;$&quot;#,##0;\(&quot;$&quot;#,##0\);&quot;-&quot;"/>
    </dxf>
    <dxf>
      <numFmt numFmtId="186" formatCode="&quot;$&quot;#,##0;\(&quot;$&quot;#,##0\);&quot;-&quot;"/>
    </dxf>
    <dxf>
      <numFmt numFmtId="21" formatCode="dd/mmm"/>
    </dxf>
    <dxf>
      <font>
        <b/>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Actual</c:v>
          </c:tx>
          <c:spPr>
            <a:ln w="28575">
              <a:solidFill>
                <a:srgbClr val="404040"/>
              </a:solidFill>
            </a:ln>
          </c:spPr>
          <c:marker>
            <c:symbol val="none"/>
          </c:marker>
          <c:cat>
            <c:strRef>
              <c:f>Chart_Data!$A$137:$A$172</c:f>
              <c:strCache>
                <c:ptCount val="36"/>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pt idx="24">
                  <c:v>Jan-27</c:v>
                </c:pt>
                <c:pt idx="25">
                  <c:v>Feb-27</c:v>
                </c:pt>
                <c:pt idx="26">
                  <c:v>Mar-27</c:v>
                </c:pt>
                <c:pt idx="27">
                  <c:v>Apr-27</c:v>
                </c:pt>
                <c:pt idx="28">
                  <c:v>May-27</c:v>
                </c:pt>
                <c:pt idx="29">
                  <c:v>Jun-27</c:v>
                </c:pt>
                <c:pt idx="30">
                  <c:v>Jul-27</c:v>
                </c:pt>
                <c:pt idx="31">
                  <c:v>Aug-27</c:v>
                </c:pt>
                <c:pt idx="32">
                  <c:v>Sep-27</c:v>
                </c:pt>
                <c:pt idx="33">
                  <c:v>Oct-27</c:v>
                </c:pt>
                <c:pt idx="34">
                  <c:v>Nov-27</c:v>
                </c:pt>
                <c:pt idx="35">
                  <c:v>Dec-27</c:v>
                </c:pt>
              </c:strCache>
            </c:strRef>
          </c:cat>
          <c:val>
            <c:numRef>
              <c:f>Chart_Data!$B$137:$B$172</c:f>
              <c:numCache>
                <c:formatCode>General</c:formatCode>
                <c:ptCount val="36"/>
                <c:pt idx="0">
                  <c:v>24682778.640000001</c:v>
                </c:pt>
                <c:pt idx="1">
                  <c:v>25232335.440000001</c:v>
                </c:pt>
                <c:pt idx="2">
                  <c:v>25814329.440000001</c:v>
                </c:pt>
                <c:pt idx="3">
                  <c:v>26429650.079999998</c:v>
                </c:pt>
                <c:pt idx="4">
                  <c:v>26591130</c:v>
                </c:pt>
                <c:pt idx="5">
                  <c:v>27137770.920000002</c:v>
                </c:pt>
                <c:pt idx="6">
                  <c:v>27467696.879999999</c:v>
                </c:pt>
                <c:pt idx="7">
                  <c:v>27793280.760000002</c:v>
                </c:pt>
                <c:pt idx="8">
                  <c:v>28118371.32</c:v>
                </c:pt>
                <c:pt idx="9">
                  <c:v>28752266.039999999</c:v>
                </c:pt>
                <c:pt idx="10">
                  <c:v>29388435.719999999</c:v>
                </c:pt>
                <c:pt idx="11">
                  <c:v>30189315.84</c:v>
                </c:pt>
                <c:pt idx="12">
                  <c:v>30180849.359999999</c:v>
                </c:pt>
                <c:pt idx="13">
                  <c:v>30578224.920000002</c:v>
                </c:pt>
                <c:pt idx="14">
                  <c:v>30837429.359999999</c:v>
                </c:pt>
                <c:pt idx="15">
                  <c:v>31447353.84</c:v>
                </c:pt>
                <c:pt idx="16">
                  <c:v>32493210.359999999</c:v>
                </c:pt>
                <c:pt idx="17">
                  <c:v>33016720.32</c:v>
                </c:pt>
              </c:numCache>
            </c:numRef>
          </c:val>
          <c:smooth val="0"/>
          <c:extLst>
            <c:ext xmlns:c16="http://schemas.microsoft.com/office/drawing/2014/chart" uri="{C3380CC4-5D6E-409C-BE32-E72D297353CC}">
              <c16:uniqueId val="{00000001-0D71-4F86-A3FD-82B8E918B8A7}"/>
            </c:ext>
          </c:extLst>
        </c:ser>
        <c:ser>
          <c:idx val="1"/>
          <c:order val="1"/>
          <c:tx>
            <c:v>Bear</c:v>
          </c:tx>
          <c:spPr>
            <a:ln w="25400">
              <a:solidFill>
                <a:srgbClr val="B4553C"/>
              </a:solidFill>
            </a:ln>
          </c:spPr>
          <c:marker>
            <c:symbol val="none"/>
          </c:marker>
          <c:dLbls>
            <c:dLbl>
              <c:idx val="35"/>
              <c:numFmt formatCode="&quot;$&quot;#,##0,,&quot;M&quot;" sourceLinked="0"/>
              <c:spPr>
                <a:noFill/>
                <a:ln>
                  <a:noFill/>
                </a:ln>
                <a:effectLst/>
              </c:spPr>
              <c:txPr>
                <a:bodyPr wrap="square" lIns="38100" tIns="19050" rIns="38100" bIns="19050" anchor="ctr">
                  <a:spAutoFit/>
                </a:bodyPr>
                <a:lstStyle/>
                <a:p>
                  <a:pPr>
                    <a:defRPr sz="900" b="1">
                      <a:solidFill>
                        <a:srgbClr val="B4553C"/>
                      </a:solidFill>
                      <a:latin typeface="Calibri"/>
                      <a:ea typeface="Calibri"/>
                      <a:cs typeface="Calibri"/>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71-4F86-A3FD-82B8E918B8A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Chart_Data!$A$137:$A$172</c:f>
              <c:strCache>
                <c:ptCount val="36"/>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pt idx="24">
                  <c:v>Jan-27</c:v>
                </c:pt>
                <c:pt idx="25">
                  <c:v>Feb-27</c:v>
                </c:pt>
                <c:pt idx="26">
                  <c:v>Mar-27</c:v>
                </c:pt>
                <c:pt idx="27">
                  <c:v>Apr-27</c:v>
                </c:pt>
                <c:pt idx="28">
                  <c:v>May-27</c:v>
                </c:pt>
                <c:pt idx="29">
                  <c:v>Jun-27</c:v>
                </c:pt>
                <c:pt idx="30">
                  <c:v>Jul-27</c:v>
                </c:pt>
                <c:pt idx="31">
                  <c:v>Aug-27</c:v>
                </c:pt>
                <c:pt idx="32">
                  <c:v>Sep-27</c:v>
                </c:pt>
                <c:pt idx="33">
                  <c:v>Oct-27</c:v>
                </c:pt>
                <c:pt idx="34">
                  <c:v>Nov-27</c:v>
                </c:pt>
                <c:pt idx="35">
                  <c:v>Dec-27</c:v>
                </c:pt>
              </c:strCache>
            </c:strRef>
          </c:cat>
          <c:val>
            <c:numRef>
              <c:f>Chart_Data!$C$137:$C$172</c:f>
              <c:numCache>
                <c:formatCode>General</c:formatCode>
                <c:ptCount val="36"/>
                <c:pt idx="17">
                  <c:v>33016720.32</c:v>
                </c:pt>
                <c:pt idx="18">
                  <c:v>33488106.730017819</c:v>
                </c:pt>
                <c:pt idx="19">
                  <c:v>33655579.61198955</c:v>
                </c:pt>
                <c:pt idx="20">
                  <c:v>33760422.626777828</c:v>
                </c:pt>
                <c:pt idx="21">
                  <c:v>33767560.746307321</c:v>
                </c:pt>
                <c:pt idx="22">
                  <c:v>33869859.399719119</c:v>
                </c:pt>
                <c:pt idx="23">
                  <c:v>33553421.70294353</c:v>
                </c:pt>
                <c:pt idx="24">
                  <c:v>33386344.052736841</c:v>
                </c:pt>
                <c:pt idx="25">
                  <c:v>33589004.789729327</c:v>
                </c:pt>
                <c:pt idx="26">
                  <c:v>33480771.933094218</c:v>
                </c:pt>
                <c:pt idx="27">
                  <c:v>33790832.733858608</c:v>
                </c:pt>
                <c:pt idx="28">
                  <c:v>34174814.846448801</c:v>
                </c:pt>
                <c:pt idx="29">
                  <c:v>34218830.669668108</c:v>
                </c:pt>
                <c:pt idx="30">
                  <c:v>34766211.131775901</c:v>
                </c:pt>
                <c:pt idx="31">
                  <c:v>35344012.741527162</c:v>
                </c:pt>
                <c:pt idx="32">
                  <c:v>35802902.17568776</c:v>
                </c:pt>
                <c:pt idx="33">
                  <c:v>36366787.999328427</c:v>
                </c:pt>
                <c:pt idx="34">
                  <c:v>36942875.606585108</c:v>
                </c:pt>
                <c:pt idx="35">
                  <c:v>37456821.811469272</c:v>
                </c:pt>
              </c:numCache>
            </c:numRef>
          </c:val>
          <c:smooth val="0"/>
          <c:extLst>
            <c:ext xmlns:c16="http://schemas.microsoft.com/office/drawing/2014/chart" uri="{C3380CC4-5D6E-409C-BE32-E72D297353CC}">
              <c16:uniqueId val="{00000002-0D71-4F86-A3FD-82B8E918B8A7}"/>
            </c:ext>
          </c:extLst>
        </c:ser>
        <c:ser>
          <c:idx val="2"/>
          <c:order val="2"/>
          <c:tx>
            <c:v>Base</c:v>
          </c:tx>
          <c:spPr>
            <a:ln w="38100">
              <a:solidFill>
                <a:srgbClr val="2E5E8C"/>
              </a:solidFill>
            </a:ln>
          </c:spPr>
          <c:marker>
            <c:symbol val="none"/>
          </c:marker>
          <c:dLbls>
            <c:dLbl>
              <c:idx val="35"/>
              <c:numFmt formatCode="&quot;$&quot;#,##0,,&quot;M&quot;" sourceLinked="0"/>
              <c:spPr>
                <a:noFill/>
                <a:ln>
                  <a:noFill/>
                </a:ln>
                <a:effectLst/>
              </c:spPr>
              <c:txPr>
                <a:bodyPr wrap="square" lIns="38100" tIns="19050" rIns="38100" bIns="19050" anchor="ctr">
                  <a:spAutoFit/>
                </a:bodyPr>
                <a:lstStyle/>
                <a:p>
                  <a:pPr>
                    <a:defRPr sz="900" b="1">
                      <a:solidFill>
                        <a:srgbClr val="2E5E8C"/>
                      </a:solidFill>
                      <a:latin typeface="Calibri"/>
                      <a:ea typeface="Calibri"/>
                      <a:cs typeface="Calibri"/>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71-4F86-A3FD-82B8E918B8A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Chart_Data!$A$137:$A$172</c:f>
              <c:strCache>
                <c:ptCount val="36"/>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pt idx="24">
                  <c:v>Jan-27</c:v>
                </c:pt>
                <c:pt idx="25">
                  <c:v>Feb-27</c:v>
                </c:pt>
                <c:pt idx="26">
                  <c:v>Mar-27</c:v>
                </c:pt>
                <c:pt idx="27">
                  <c:v>Apr-27</c:v>
                </c:pt>
                <c:pt idx="28">
                  <c:v>May-27</c:v>
                </c:pt>
                <c:pt idx="29">
                  <c:v>Jun-27</c:v>
                </c:pt>
                <c:pt idx="30">
                  <c:v>Jul-27</c:v>
                </c:pt>
                <c:pt idx="31">
                  <c:v>Aug-27</c:v>
                </c:pt>
                <c:pt idx="32">
                  <c:v>Sep-27</c:v>
                </c:pt>
                <c:pt idx="33">
                  <c:v>Oct-27</c:v>
                </c:pt>
                <c:pt idx="34">
                  <c:v>Nov-27</c:v>
                </c:pt>
                <c:pt idx="35">
                  <c:v>Dec-27</c:v>
                </c:pt>
              </c:strCache>
            </c:strRef>
          </c:cat>
          <c:val>
            <c:numRef>
              <c:f>Chart_Data!$D$137:$D$172</c:f>
              <c:numCache>
                <c:formatCode>General</c:formatCode>
                <c:ptCount val="36"/>
                <c:pt idx="17">
                  <c:v>33016720.32</c:v>
                </c:pt>
                <c:pt idx="18">
                  <c:v>33671666.720317788</c:v>
                </c:pt>
                <c:pt idx="19">
                  <c:v>33985619.409044519</c:v>
                </c:pt>
                <c:pt idx="20">
                  <c:v>34227398.188384548</c:v>
                </c:pt>
                <c:pt idx="21">
                  <c:v>34388015.770121627</c:v>
                </c:pt>
                <c:pt idx="22">
                  <c:v>34776456.209347941</c:v>
                </c:pt>
                <c:pt idx="23">
                  <c:v>34816416.564797662</c:v>
                </c:pt>
                <c:pt idx="24">
                  <c:v>34980843.625721462</c:v>
                </c:pt>
                <c:pt idx="25">
                  <c:v>35451255.839126632</c:v>
                </c:pt>
                <c:pt idx="26">
                  <c:v>35660175.064367257</c:v>
                </c:pt>
                <c:pt idx="27">
                  <c:v>36215317.187265523</c:v>
                </c:pt>
                <c:pt idx="28">
                  <c:v>36829763.613565274</c:v>
                </c:pt>
                <c:pt idx="29">
                  <c:v>37158664.923159793</c:v>
                </c:pt>
                <c:pt idx="30">
                  <c:v>37904852.393493682</c:v>
                </c:pt>
                <c:pt idx="31">
                  <c:v>38674260.577043436</c:v>
                </c:pt>
                <c:pt idx="32">
                  <c:v>39342497.824995451</c:v>
                </c:pt>
                <c:pt idx="33">
                  <c:v>40096206.087394796</c:v>
                </c:pt>
                <c:pt idx="34">
                  <c:v>40858106.729525968</c:v>
                </c:pt>
                <c:pt idx="35">
                  <c:v>41566296.055865154</c:v>
                </c:pt>
              </c:numCache>
            </c:numRef>
          </c:val>
          <c:smooth val="0"/>
          <c:extLst>
            <c:ext xmlns:c16="http://schemas.microsoft.com/office/drawing/2014/chart" uri="{C3380CC4-5D6E-409C-BE32-E72D297353CC}">
              <c16:uniqueId val="{00000003-0D71-4F86-A3FD-82B8E918B8A7}"/>
            </c:ext>
          </c:extLst>
        </c:ser>
        <c:ser>
          <c:idx val="3"/>
          <c:order val="3"/>
          <c:tx>
            <c:v>Bull</c:v>
          </c:tx>
          <c:spPr>
            <a:ln w="25400">
              <a:solidFill>
                <a:srgbClr val="3E7D6B"/>
              </a:solidFill>
            </a:ln>
          </c:spPr>
          <c:marker>
            <c:symbol val="none"/>
          </c:marker>
          <c:dLbls>
            <c:dLbl>
              <c:idx val="35"/>
              <c:numFmt formatCode="&quot;$&quot;#,##0,,&quot;M&quot;" sourceLinked="0"/>
              <c:spPr>
                <a:noFill/>
                <a:ln>
                  <a:noFill/>
                </a:ln>
                <a:effectLst/>
              </c:spPr>
              <c:txPr>
                <a:bodyPr wrap="square" lIns="38100" tIns="19050" rIns="38100" bIns="19050" anchor="ctr">
                  <a:spAutoFit/>
                </a:bodyPr>
                <a:lstStyle/>
                <a:p>
                  <a:pPr>
                    <a:defRPr sz="900" b="1">
                      <a:solidFill>
                        <a:srgbClr val="3E7D6B"/>
                      </a:solidFill>
                      <a:latin typeface="Calibri"/>
                      <a:ea typeface="Calibri"/>
                      <a:cs typeface="Calibri"/>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71-4F86-A3FD-82B8E918B8A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Chart_Data!$A$137:$A$172</c:f>
              <c:strCache>
                <c:ptCount val="36"/>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pt idx="24">
                  <c:v>Jan-27</c:v>
                </c:pt>
                <c:pt idx="25">
                  <c:v>Feb-27</c:v>
                </c:pt>
                <c:pt idx="26">
                  <c:v>Mar-27</c:v>
                </c:pt>
                <c:pt idx="27">
                  <c:v>Apr-27</c:v>
                </c:pt>
                <c:pt idx="28">
                  <c:v>May-27</c:v>
                </c:pt>
                <c:pt idx="29">
                  <c:v>Jun-27</c:v>
                </c:pt>
                <c:pt idx="30">
                  <c:v>Jul-27</c:v>
                </c:pt>
                <c:pt idx="31">
                  <c:v>Aug-27</c:v>
                </c:pt>
                <c:pt idx="32">
                  <c:v>Sep-27</c:v>
                </c:pt>
                <c:pt idx="33">
                  <c:v>Oct-27</c:v>
                </c:pt>
                <c:pt idx="34">
                  <c:v>Nov-27</c:v>
                </c:pt>
                <c:pt idx="35">
                  <c:v>Dec-27</c:v>
                </c:pt>
              </c:strCache>
            </c:strRef>
          </c:cat>
          <c:val>
            <c:numRef>
              <c:f>Chart_Data!$E$137:$E$172</c:f>
              <c:numCache>
                <c:formatCode>General</c:formatCode>
                <c:ptCount val="36"/>
                <c:pt idx="17">
                  <c:v>33016720.32</c:v>
                </c:pt>
                <c:pt idx="18">
                  <c:v>33868561.093475349</c:v>
                </c:pt>
                <c:pt idx="19">
                  <c:v>34340318.132787019</c:v>
                </c:pt>
                <c:pt idx="20">
                  <c:v>34730174.071336612</c:v>
                </c:pt>
                <c:pt idx="21">
                  <c:v>35051309.95603966</c:v>
                </c:pt>
                <c:pt idx="22">
                  <c:v>35733548.153585806</c:v>
                </c:pt>
                <c:pt idx="23">
                  <c:v>36123036.630151823</c:v>
                </c:pt>
                <c:pt idx="24">
                  <c:v>36615401.633812949</c:v>
                </c:pt>
                <c:pt idx="25">
                  <c:v>37366816.850769617</c:v>
                </c:pt>
                <c:pt idx="26">
                  <c:v>37895238.529743962</c:v>
                </c:pt>
                <c:pt idx="27">
                  <c:v>38717243.126674727</c:v>
                </c:pt>
                <c:pt idx="28">
                  <c:v>39588967.344560727</c:v>
                </c:pt>
                <c:pt idx="29">
                  <c:v>40217306.250578463</c:v>
                </c:pt>
                <c:pt idx="30">
                  <c:v>41199683.081724338</c:v>
                </c:pt>
                <c:pt idx="31">
                  <c:v>42201158.446157597</c:v>
                </c:pt>
                <c:pt idx="32">
                  <c:v>43116015.278551102</c:v>
                </c:pt>
                <c:pt idx="33">
                  <c:v>44102914.680189043</c:v>
                </c:pt>
                <c:pt idx="34">
                  <c:v>45092786.515011713</c:v>
                </c:pt>
                <c:pt idx="35">
                  <c:v>46032954.526919052</c:v>
                </c:pt>
              </c:numCache>
            </c:numRef>
          </c:val>
          <c:smooth val="0"/>
          <c:extLst>
            <c:ext xmlns:c16="http://schemas.microsoft.com/office/drawing/2014/chart" uri="{C3380CC4-5D6E-409C-BE32-E72D297353CC}">
              <c16:uniqueId val="{00000004-0D71-4F86-A3FD-82B8E918B8A7}"/>
            </c:ext>
          </c:extLst>
        </c:ser>
        <c:ser>
          <c:idx val="4"/>
          <c:order val="4"/>
          <c:tx>
            <c:v>Board Budget (Dec-26)</c:v>
          </c:tx>
          <c:spPr>
            <a:ln w="28575" cap="rnd" cmpd="sng" algn="ctr">
              <a:noFill/>
              <a:prstDash val="solid"/>
              <a:round/>
            </a:ln>
            <a:effectLst/>
            <a:extLst>
              <a:ext uri="{91240B29-F687-4F45-9708-019B960494DF}">
                <a14:hiddenLine xmlns:a14="http://schemas.microsoft.com/office/drawing/2010/main" w="28575" cap="rnd" cmpd="sng" algn="ctr">
                  <a:solidFill>
                    <a:srgbClr val="4BACC6">
                      <a:shade val="95000"/>
                      <a:satMod val="105000"/>
                    </a:srgbClr>
                  </a:solidFill>
                  <a:prstDash val="solid"/>
                  <a:round/>
                </a14:hiddenLine>
              </a:ext>
            </a:extLst>
          </c:spPr>
          <c:marker>
            <c:symbol val="circle"/>
            <c:size val="8"/>
            <c:spPr>
              <a:solidFill>
                <a:srgbClr val="A6A6A6"/>
              </a:solidFill>
              <a:ln w="9525" cap="flat" cmpd="sng" algn="ctr">
                <a:noFill/>
                <a:prstDash val="solid"/>
                <a:round/>
              </a:ln>
              <a:effectLst/>
              <a:extLst>
                <a:ext uri="{91240B29-F687-4F45-9708-019B960494DF}">
                  <a14:hiddenLine xmlns:a14="http://schemas.microsoft.com/office/drawing/2010/main" w="9525" cap="flat" cmpd="sng" algn="ctr">
                    <a:solidFill>
                      <a:srgbClr val="4BACC6">
                        <a:shade val="95000"/>
                        <a:satMod val="105000"/>
                      </a:srgbClr>
                    </a:solidFill>
                    <a:prstDash val="solid"/>
                    <a:round/>
                  </a14:hiddenLine>
                </a:ext>
              </a:extLst>
            </c:spPr>
          </c:marker>
          <c:dLbls>
            <c:dLbl>
              <c:idx val="23"/>
              <c:numFmt formatCode="&quot;Budget &quot;&quot;$&quot;#,##0.0,,&quot;M&quot;" sourceLinked="0"/>
              <c:spPr>
                <a:noFill/>
                <a:ln>
                  <a:noFill/>
                </a:ln>
                <a:effectLs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71-4F86-A3FD-82B8E918B8A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Chart_Data!$A$137:$A$172</c:f>
              <c:strCache>
                <c:ptCount val="36"/>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pt idx="24">
                  <c:v>Jan-27</c:v>
                </c:pt>
                <c:pt idx="25">
                  <c:v>Feb-27</c:v>
                </c:pt>
                <c:pt idx="26">
                  <c:v>Mar-27</c:v>
                </c:pt>
                <c:pt idx="27">
                  <c:v>Apr-27</c:v>
                </c:pt>
                <c:pt idx="28">
                  <c:v>May-27</c:v>
                </c:pt>
                <c:pt idx="29">
                  <c:v>Jun-27</c:v>
                </c:pt>
                <c:pt idx="30">
                  <c:v>Jul-27</c:v>
                </c:pt>
                <c:pt idx="31">
                  <c:v>Aug-27</c:v>
                </c:pt>
                <c:pt idx="32">
                  <c:v>Sep-27</c:v>
                </c:pt>
                <c:pt idx="33">
                  <c:v>Oct-27</c:v>
                </c:pt>
                <c:pt idx="34">
                  <c:v>Nov-27</c:v>
                </c:pt>
                <c:pt idx="35">
                  <c:v>Dec-27</c:v>
                </c:pt>
              </c:strCache>
            </c:strRef>
          </c:cat>
          <c:val>
            <c:numRef>
              <c:f>Chart_Data!$F$137:$F$172</c:f>
              <c:numCache>
                <c:formatCode>General</c:formatCode>
                <c:ptCount val="36"/>
                <c:pt idx="23" formatCode="\$#,##0.0,,&quot;M&quot;;\(\$#,##0.0,,&quot;M&quot;\);&quot;-&quot;">
                  <c:v>37589315.840000004</c:v>
                </c:pt>
              </c:numCache>
            </c:numRef>
          </c:val>
          <c:smooth val="0"/>
          <c:extLst>
            <c:ext xmlns:c16="http://schemas.microsoft.com/office/drawing/2014/chart" uri="{C3380CC4-5D6E-409C-BE32-E72D297353CC}">
              <c16:uniqueId val="{00000005-0D71-4F86-A3FD-82B8E918B8A7}"/>
            </c:ext>
          </c:extLst>
        </c:ser>
        <c:dLbls>
          <c:showLegendKey val="0"/>
          <c:showVal val="0"/>
          <c:showCatName val="0"/>
          <c:showSerName val="0"/>
          <c:showPercent val="0"/>
          <c:showBubbleSize val="0"/>
        </c:dLbls>
        <c:smooth val="0"/>
        <c:axId val="1626088143"/>
        <c:axId val="1004126255"/>
      </c:lineChart>
      <c:catAx>
        <c:axId val="1626088143"/>
        <c:scaling>
          <c:orientation val="minMax"/>
        </c:scaling>
        <c:delete val="0"/>
        <c:axPos val="b"/>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004126255"/>
        <c:crosses val="autoZero"/>
        <c:auto val="1"/>
        <c:lblAlgn val="ctr"/>
        <c:lblOffset val="100"/>
        <c:tickLblSkip val="3"/>
        <c:tickMarkSkip val="3"/>
        <c:noMultiLvlLbl val="0"/>
      </c:catAx>
      <c:valAx>
        <c:axId val="1004126255"/>
        <c:scaling>
          <c:orientation val="minMax"/>
          <c:max val="48000000"/>
          <c:min val="24000000"/>
        </c:scaling>
        <c:delete val="0"/>
        <c:axPos val="l"/>
        <c:majorGridlines>
          <c:spPr>
            <a:ln w="9525">
              <a:solidFill>
                <a:srgbClr val="E8E8E8"/>
              </a:solidFill>
            </a:ln>
          </c:spPr>
        </c:majorGridlines>
        <c:numFmt formatCode="&quot;$&quot;#,##0,,&quot;M&quot;"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626088143"/>
        <c:crosses val="autoZero"/>
        <c:crossBetween val="between"/>
        <c:majorUnit val="60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Movement vs Board Budget</c:v>
          </c:tx>
          <c:invertIfNegative val="0"/>
          <c:dPt>
            <c:idx val="0"/>
            <c:invertIfNegative val="0"/>
            <c:bubble3D val="0"/>
            <c:spPr>
              <a:solidFill>
                <a:srgbClr val="9C1F2E"/>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2-FCC6-4D28-B449-FF5B77E66108}"/>
              </c:ext>
            </c:extLst>
          </c:dPt>
          <c:dPt>
            <c:idx val="1"/>
            <c:invertIfNegative val="0"/>
            <c:bubble3D val="0"/>
            <c:spPr>
              <a:solidFill>
                <a:srgbClr val="1E6B3A"/>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3-FCC6-4D28-B449-FF5B77E66108}"/>
              </c:ext>
            </c:extLst>
          </c:dPt>
          <c:dPt>
            <c:idx val="2"/>
            <c:invertIfNegative val="0"/>
            <c:bubble3D val="0"/>
            <c:spPr>
              <a:solidFill>
                <a:srgbClr val="9C1F2E"/>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4-FCC6-4D28-B449-FF5B77E66108}"/>
              </c:ext>
            </c:extLst>
          </c:dPt>
          <c:dPt>
            <c:idx val="3"/>
            <c:invertIfNegative val="0"/>
            <c:bubble3D val="0"/>
            <c:spPr>
              <a:solidFill>
                <a:srgbClr val="9C1F2E"/>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5-FCC6-4D28-B449-FF5B77E66108}"/>
              </c:ext>
            </c:extLst>
          </c:dPt>
          <c:dLbls>
            <c:numFmt formatCode="\+&quot;$&quot;#,##0.0,,&quot;M&quot;;\-&quot;$&quot;#,##0.0,,&quot;M&quot;" sourceLinked="0"/>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Chart_Data!$A$130:$A$133</c:f>
              <c:strCache>
                <c:ptCount val="4"/>
                <c:pt idx="0">
                  <c:v>New Logo</c:v>
                </c:pt>
                <c:pt idx="1">
                  <c:v>Expansion</c:v>
                </c:pt>
                <c:pt idx="2">
                  <c:v>Contraction</c:v>
                </c:pt>
                <c:pt idx="3">
                  <c:v>Other movements</c:v>
                </c:pt>
              </c:strCache>
            </c:strRef>
          </c:cat>
          <c:val>
            <c:numRef>
              <c:f>Chart_Data!$F$130:$F$133</c:f>
              <c:numCache>
                <c:formatCode>General</c:formatCode>
                <c:ptCount val="4"/>
                <c:pt idx="0">
                  <c:v>-2793686.4864355521</c:v>
                </c:pt>
                <c:pt idx="1">
                  <c:v>1538102.552951446</c:v>
                </c:pt>
                <c:pt idx="2">
                  <c:v>-1219395.3143991921</c:v>
                </c:pt>
                <c:pt idx="3">
                  <c:v>-297920.02731904405</c:v>
                </c:pt>
              </c:numCache>
            </c:numRef>
          </c:val>
          <c:extLst>
            <c:ext xmlns:c16="http://schemas.microsoft.com/office/drawing/2014/chart" uri="{C3380CC4-5D6E-409C-BE32-E72D297353CC}">
              <c16:uniqueId val="{00000001-FCC6-4D28-B449-FF5B77E66108}"/>
            </c:ext>
          </c:extLst>
        </c:ser>
        <c:dLbls>
          <c:showLegendKey val="0"/>
          <c:showVal val="0"/>
          <c:showCatName val="0"/>
          <c:showSerName val="0"/>
          <c:showPercent val="0"/>
          <c:showBubbleSize val="0"/>
        </c:dLbls>
        <c:gapWidth val="55"/>
        <c:axId val="1088613855"/>
        <c:axId val="1086016463"/>
      </c:barChart>
      <c:catAx>
        <c:axId val="1088613855"/>
        <c:scaling>
          <c:orientation val="maxMin"/>
        </c:scaling>
        <c:delete val="0"/>
        <c:axPos val="l"/>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086016463"/>
        <c:crosses val="autoZero"/>
        <c:auto val="1"/>
        <c:lblAlgn val="ctr"/>
        <c:lblOffset val="100"/>
        <c:noMultiLvlLbl val="0"/>
      </c:catAx>
      <c:valAx>
        <c:axId val="1086016463"/>
        <c:scaling>
          <c:orientation val="minMax"/>
          <c:max val="4050845.4053315506"/>
          <c:min val="-4050845.4053315506"/>
        </c:scaling>
        <c:delete val="1"/>
        <c:axPos val="t"/>
        <c:numFmt formatCode="General" sourceLinked="1"/>
        <c:majorTickMark val="out"/>
        <c:minorTickMark val="none"/>
        <c:tickLblPos val="nextTo"/>
        <c:crossAx val="108861385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Board-policy runway</c:v>
          </c:tx>
          <c:invertIfNegative val="0"/>
          <c:dPt>
            <c:idx val="0"/>
            <c:invertIfNegative val="0"/>
            <c:bubble3D val="0"/>
            <c:spPr>
              <a:solidFill>
                <a:srgbClr val="B4553C"/>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2-F205-42D5-97B3-BBE06AB62DCD}"/>
              </c:ext>
            </c:extLst>
          </c:dPt>
          <c:dPt>
            <c:idx val="1"/>
            <c:invertIfNegative val="0"/>
            <c:bubble3D val="0"/>
            <c:spPr>
              <a:solidFill>
                <a:srgbClr val="2E5E8C"/>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3-F205-42D5-97B3-BBE06AB62DCD}"/>
              </c:ext>
            </c:extLst>
          </c:dPt>
          <c:dPt>
            <c:idx val="2"/>
            <c:invertIfNegative val="0"/>
            <c:bubble3D val="0"/>
            <c:spPr>
              <a:solidFill>
                <a:srgbClr val="3E7D6B"/>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4-F205-42D5-97B3-BBE06AB62DCD}"/>
              </c:ext>
            </c:extLst>
          </c:dPt>
          <c:dPt>
            <c:idx val="3"/>
            <c:invertIfNegative val="0"/>
            <c:bubble3D val="0"/>
            <c:spPr>
              <a:solidFill>
                <a:srgbClr val="9DB9D2"/>
              </a:solidFill>
              <a:ln>
                <a:noFill/>
              </a:ln>
              <a:effectLst/>
              <a:extLst>
                <a:ext uri="{91240B29-F687-4F45-9708-019B960494DF}">
                  <a14:hiddenLine xmlns:a14="http://schemas.microsoft.com/office/drawing/2010/main">
                    <a:noFill/>
                  </a14:hiddenLine>
                </a:ext>
              </a:extLst>
            </c:spPr>
            <c:extLst>
              <c:ext xmlns:c16="http://schemas.microsoft.com/office/drawing/2014/chart" uri="{C3380CC4-5D6E-409C-BE32-E72D297353CC}">
                <c16:uniqueId val="{00000005-F205-42D5-97B3-BBE06AB62DCD}"/>
              </c:ext>
            </c:extLst>
          </c:dPt>
          <c:dLbls>
            <c:numFmt formatCode="0.0&quot; mo&quot;" sourceLinked="0"/>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Chart_Data!$A$56:$A$59</c:f>
              <c:strCache>
                <c:ptCount val="4"/>
                <c:pt idx="0">
                  <c:v>Bear</c:v>
                </c:pt>
                <c:pt idx="1">
                  <c:v>Base</c:v>
                </c:pt>
                <c:pt idx="2">
                  <c:v>Bull</c:v>
                </c:pt>
                <c:pt idx="3">
                  <c:v>Full Capacity-Close</c:v>
                </c:pt>
              </c:strCache>
            </c:strRef>
          </c:cat>
          <c:val>
            <c:numRef>
              <c:f>Chart_Data!$B$56:$B$59</c:f>
              <c:numCache>
                <c:formatCode>#,##0.0" mo";\(#,##0.0\)" mo";"-"</c:formatCode>
                <c:ptCount val="4"/>
                <c:pt idx="0">
                  <c:v>23.539775051483051</c:v>
                </c:pt>
                <c:pt idx="1">
                  <c:v>25.647058823529409</c:v>
                </c:pt>
                <c:pt idx="2">
                  <c:v>28.263294394628261</c:v>
                </c:pt>
                <c:pt idx="3">
                  <c:v>24.661059962432521</c:v>
                </c:pt>
              </c:numCache>
            </c:numRef>
          </c:val>
          <c:extLst>
            <c:ext xmlns:c16="http://schemas.microsoft.com/office/drawing/2014/chart" uri="{C3380CC4-5D6E-409C-BE32-E72D297353CC}">
              <c16:uniqueId val="{00000001-F205-42D5-97B3-BBE06AB62DCD}"/>
            </c:ext>
          </c:extLst>
        </c:ser>
        <c:dLbls>
          <c:showLegendKey val="0"/>
          <c:showVal val="0"/>
          <c:showCatName val="0"/>
          <c:showSerName val="0"/>
          <c:showPercent val="0"/>
          <c:showBubbleSize val="0"/>
        </c:dLbls>
        <c:gapWidth val="70"/>
        <c:axId val="1135593151"/>
        <c:axId val="1086002543"/>
      </c:barChart>
      <c:catAx>
        <c:axId val="1135593151"/>
        <c:scaling>
          <c:orientation val="maxMin"/>
        </c:scaling>
        <c:delete val="0"/>
        <c:axPos val="l"/>
        <c:numFmt formatCode="General" sourceLinked="1"/>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086002543"/>
        <c:crosses val="autoZero"/>
        <c:auto val="1"/>
        <c:lblAlgn val="ctr"/>
        <c:lblOffset val="100"/>
        <c:noMultiLvlLbl val="0"/>
      </c:catAx>
      <c:valAx>
        <c:axId val="1086002543"/>
        <c:scaling>
          <c:orientation val="minMax"/>
          <c:max val="32"/>
          <c:min val="0"/>
        </c:scaling>
        <c:delete val="1"/>
        <c:axPos val="t"/>
        <c:numFmt formatCode="#,##0.0&quot; mo&quot;;\(#,##0.0\)&quot; mo&quot;;&quot;-&quot;" sourceLinked="1"/>
        <c:majorTickMark val="out"/>
        <c:minorTickMark val="none"/>
        <c:tickLblPos val="nextTo"/>
        <c:crossAx val="1135593151"/>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1"/>
        <c:ser>
          <c:idx val="0"/>
          <c:order val="0"/>
          <c:tx>
            <c:strRef>
              <c:f>Chart_Data!$B$62</c:f>
              <c:strCache>
                <c:ptCount val="1"/>
                <c:pt idx="0">
                  <c:v>New Logo</c:v>
                </c:pt>
              </c:strCache>
            </c:strRef>
          </c:tx>
          <c:spPr>
            <a:solidFill>
              <a:srgbClr val="2E5E8C"/>
            </a:solidFill>
            <a:ln>
              <a:noFill/>
              <a:prstDash val="solid"/>
            </a:ln>
          </c:spPr>
          <c:invertIfNegative val="0"/>
          <c:dPt>
            <c:idx val="18"/>
            <c:invertIfNegative val="0"/>
            <c:bubble3D val="0"/>
            <c:spPr>
              <a:solidFill>
                <a:srgbClr val="2E5E8C">
                  <a:alpha val="55000"/>
                </a:srgbClr>
              </a:solidFill>
              <a:ln>
                <a:noFill/>
                <a:prstDash val="solid"/>
              </a:ln>
            </c:spPr>
            <c:extLst>
              <c:ext xmlns:c16="http://schemas.microsoft.com/office/drawing/2014/chart" uri="{C3380CC4-5D6E-409C-BE32-E72D297353CC}">
                <c16:uniqueId val="{00000000-C897-42A5-BC88-088C3BC2749A}"/>
              </c:ext>
            </c:extLst>
          </c:dPt>
          <c:dPt>
            <c:idx val="19"/>
            <c:invertIfNegative val="0"/>
            <c:bubble3D val="0"/>
            <c:spPr>
              <a:solidFill>
                <a:srgbClr val="2E5E8C">
                  <a:alpha val="55000"/>
                </a:srgbClr>
              </a:solidFill>
              <a:ln>
                <a:noFill/>
                <a:prstDash val="solid"/>
              </a:ln>
            </c:spPr>
            <c:extLst>
              <c:ext xmlns:c16="http://schemas.microsoft.com/office/drawing/2014/chart" uri="{C3380CC4-5D6E-409C-BE32-E72D297353CC}">
                <c16:uniqueId val="{00000001-C897-42A5-BC88-088C3BC2749A}"/>
              </c:ext>
            </c:extLst>
          </c:dPt>
          <c:dPt>
            <c:idx val="20"/>
            <c:invertIfNegative val="0"/>
            <c:bubble3D val="0"/>
            <c:spPr>
              <a:solidFill>
                <a:srgbClr val="2E5E8C">
                  <a:alpha val="55000"/>
                </a:srgbClr>
              </a:solidFill>
              <a:ln>
                <a:noFill/>
                <a:prstDash val="solid"/>
              </a:ln>
            </c:spPr>
            <c:extLst>
              <c:ext xmlns:c16="http://schemas.microsoft.com/office/drawing/2014/chart" uri="{C3380CC4-5D6E-409C-BE32-E72D297353CC}">
                <c16:uniqueId val="{00000002-C897-42A5-BC88-088C3BC2749A}"/>
              </c:ext>
            </c:extLst>
          </c:dPt>
          <c:dPt>
            <c:idx val="21"/>
            <c:invertIfNegative val="0"/>
            <c:bubble3D val="0"/>
            <c:spPr>
              <a:solidFill>
                <a:srgbClr val="2E5E8C">
                  <a:alpha val="55000"/>
                </a:srgbClr>
              </a:solidFill>
              <a:ln>
                <a:noFill/>
                <a:prstDash val="solid"/>
              </a:ln>
            </c:spPr>
            <c:extLst>
              <c:ext xmlns:c16="http://schemas.microsoft.com/office/drawing/2014/chart" uri="{C3380CC4-5D6E-409C-BE32-E72D297353CC}">
                <c16:uniqueId val="{00000003-C897-42A5-BC88-088C3BC2749A}"/>
              </c:ext>
            </c:extLst>
          </c:dPt>
          <c:dPt>
            <c:idx val="22"/>
            <c:invertIfNegative val="0"/>
            <c:bubble3D val="0"/>
            <c:spPr>
              <a:solidFill>
                <a:srgbClr val="2E5E8C">
                  <a:alpha val="55000"/>
                </a:srgbClr>
              </a:solidFill>
              <a:ln>
                <a:noFill/>
                <a:prstDash val="solid"/>
              </a:ln>
            </c:spPr>
            <c:extLst>
              <c:ext xmlns:c16="http://schemas.microsoft.com/office/drawing/2014/chart" uri="{C3380CC4-5D6E-409C-BE32-E72D297353CC}">
                <c16:uniqueId val="{00000004-C897-42A5-BC88-088C3BC2749A}"/>
              </c:ext>
            </c:extLst>
          </c:dPt>
          <c:dPt>
            <c:idx val="23"/>
            <c:invertIfNegative val="0"/>
            <c:bubble3D val="0"/>
            <c:spPr>
              <a:solidFill>
                <a:srgbClr val="2E5E8C">
                  <a:alpha val="55000"/>
                </a:srgbClr>
              </a:solidFill>
              <a:ln>
                <a:noFill/>
                <a:prstDash val="solid"/>
              </a:ln>
            </c:spPr>
            <c:extLst>
              <c:ext xmlns:c16="http://schemas.microsoft.com/office/drawing/2014/chart" uri="{C3380CC4-5D6E-409C-BE32-E72D297353CC}">
                <c16:uniqueId val="{00000005-C897-42A5-BC88-088C3BC2749A}"/>
              </c:ext>
            </c:extLst>
          </c:dPt>
          <c:cat>
            <c:strRef>
              <c:f>Chart_Data!$A$63:$A$86</c:f>
              <c:strCache>
                <c:ptCount val="24"/>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strCache>
            </c:strRef>
          </c:cat>
          <c:val>
            <c:numRef>
              <c:f>Chart_Data!$B$63:$B$86</c:f>
              <c:numCache>
                <c:formatCode>#,##0,;\(#,##0,\);"-"</c:formatCode>
                <c:ptCount val="24"/>
                <c:pt idx="0">
                  <c:v>763989.24</c:v>
                </c:pt>
                <c:pt idx="1">
                  <c:v>398202.84</c:v>
                </c:pt>
                <c:pt idx="2">
                  <c:v>482289.00000000012</c:v>
                </c:pt>
                <c:pt idx="3">
                  <c:v>289522.08</c:v>
                </c:pt>
                <c:pt idx="4">
                  <c:v>266066.15999999997</c:v>
                </c:pt>
                <c:pt idx="5">
                  <c:v>408324</c:v>
                </c:pt>
                <c:pt idx="6">
                  <c:v>148504.68</c:v>
                </c:pt>
                <c:pt idx="7">
                  <c:v>254568</c:v>
                </c:pt>
                <c:pt idx="8">
                  <c:v>265998.84000000003</c:v>
                </c:pt>
                <c:pt idx="9">
                  <c:v>427038.12</c:v>
                </c:pt>
                <c:pt idx="10">
                  <c:v>771199.2</c:v>
                </c:pt>
                <c:pt idx="11">
                  <c:v>815749.32000000007</c:v>
                </c:pt>
                <c:pt idx="12">
                  <c:v>267424.44</c:v>
                </c:pt>
                <c:pt idx="13">
                  <c:v>347874.72</c:v>
                </c:pt>
                <c:pt idx="14">
                  <c:v>452642.28</c:v>
                </c:pt>
                <c:pt idx="15">
                  <c:v>134448.48000000001</c:v>
                </c:pt>
                <c:pt idx="16">
                  <c:v>170863.2</c:v>
                </c:pt>
                <c:pt idx="17">
                  <c:v>650292.36</c:v>
                </c:pt>
                <c:pt idx="18">
                  <c:v>379723.84316577658</c:v>
                </c:pt>
                <c:pt idx="19">
                  <c:v>78926.912128142969</c:v>
                </c:pt>
                <c:pt idx="20">
                  <c:v>10415.98618357488</c:v>
                </c:pt>
                <c:pt idx="21">
                  <c:v>11305.866570048311</c:v>
                </c:pt>
                <c:pt idx="22">
                  <c:v>350964.27540200192</c:v>
                </c:pt>
                <c:pt idx="23">
                  <c:v>351431.15011490264</c:v>
                </c:pt>
              </c:numCache>
            </c:numRef>
          </c:val>
          <c:extLst>
            <c:ext xmlns:c16="http://schemas.microsoft.com/office/drawing/2014/chart" uri="{C3380CC4-5D6E-409C-BE32-E72D297353CC}">
              <c16:uniqueId val="{00000000-F3CF-45AB-A8DA-12D36C3D5F43}"/>
            </c:ext>
          </c:extLst>
        </c:ser>
        <c:ser>
          <c:idx val="1"/>
          <c:order val="1"/>
          <c:tx>
            <c:strRef>
              <c:f>Chart_Data!$C$62</c:f>
              <c:strCache>
                <c:ptCount val="1"/>
                <c:pt idx="0">
                  <c:v>Expansion</c:v>
                </c:pt>
              </c:strCache>
            </c:strRef>
          </c:tx>
          <c:spPr>
            <a:solidFill>
              <a:srgbClr val="9DB9D2"/>
            </a:solidFill>
            <a:ln>
              <a:noFill/>
              <a:prstDash val="solid"/>
            </a:ln>
          </c:spPr>
          <c:invertIfNegative val="0"/>
          <c:dPt>
            <c:idx val="18"/>
            <c:invertIfNegative val="0"/>
            <c:bubble3D val="0"/>
            <c:spPr>
              <a:solidFill>
                <a:srgbClr val="9DB9D2">
                  <a:alpha val="55000"/>
                </a:srgbClr>
              </a:solidFill>
              <a:ln>
                <a:noFill/>
                <a:prstDash val="solid"/>
              </a:ln>
            </c:spPr>
            <c:extLst>
              <c:ext xmlns:c16="http://schemas.microsoft.com/office/drawing/2014/chart" uri="{C3380CC4-5D6E-409C-BE32-E72D297353CC}">
                <c16:uniqueId val="{00000006-C897-42A5-BC88-088C3BC2749A}"/>
              </c:ext>
            </c:extLst>
          </c:dPt>
          <c:dPt>
            <c:idx val="19"/>
            <c:invertIfNegative val="0"/>
            <c:bubble3D val="0"/>
            <c:spPr>
              <a:solidFill>
                <a:srgbClr val="9DB9D2">
                  <a:alpha val="55000"/>
                </a:srgbClr>
              </a:solidFill>
              <a:ln>
                <a:noFill/>
                <a:prstDash val="solid"/>
              </a:ln>
            </c:spPr>
            <c:extLst>
              <c:ext xmlns:c16="http://schemas.microsoft.com/office/drawing/2014/chart" uri="{C3380CC4-5D6E-409C-BE32-E72D297353CC}">
                <c16:uniqueId val="{00000007-C897-42A5-BC88-088C3BC2749A}"/>
              </c:ext>
            </c:extLst>
          </c:dPt>
          <c:dPt>
            <c:idx val="20"/>
            <c:invertIfNegative val="0"/>
            <c:bubble3D val="0"/>
            <c:spPr>
              <a:solidFill>
                <a:srgbClr val="9DB9D2">
                  <a:alpha val="55000"/>
                </a:srgbClr>
              </a:solidFill>
              <a:ln>
                <a:noFill/>
                <a:prstDash val="solid"/>
              </a:ln>
            </c:spPr>
            <c:extLst>
              <c:ext xmlns:c16="http://schemas.microsoft.com/office/drawing/2014/chart" uri="{C3380CC4-5D6E-409C-BE32-E72D297353CC}">
                <c16:uniqueId val="{00000008-C897-42A5-BC88-088C3BC2749A}"/>
              </c:ext>
            </c:extLst>
          </c:dPt>
          <c:dPt>
            <c:idx val="21"/>
            <c:invertIfNegative val="0"/>
            <c:bubble3D val="0"/>
            <c:spPr>
              <a:solidFill>
                <a:srgbClr val="9DB9D2">
                  <a:alpha val="55000"/>
                </a:srgbClr>
              </a:solidFill>
              <a:ln>
                <a:noFill/>
                <a:prstDash val="solid"/>
              </a:ln>
            </c:spPr>
            <c:extLst>
              <c:ext xmlns:c16="http://schemas.microsoft.com/office/drawing/2014/chart" uri="{C3380CC4-5D6E-409C-BE32-E72D297353CC}">
                <c16:uniqueId val="{00000009-C897-42A5-BC88-088C3BC2749A}"/>
              </c:ext>
            </c:extLst>
          </c:dPt>
          <c:dPt>
            <c:idx val="22"/>
            <c:invertIfNegative val="0"/>
            <c:bubble3D val="0"/>
            <c:spPr>
              <a:solidFill>
                <a:srgbClr val="9DB9D2">
                  <a:alpha val="55000"/>
                </a:srgbClr>
              </a:solidFill>
              <a:ln>
                <a:noFill/>
                <a:prstDash val="solid"/>
              </a:ln>
            </c:spPr>
            <c:extLst>
              <c:ext xmlns:c16="http://schemas.microsoft.com/office/drawing/2014/chart" uri="{C3380CC4-5D6E-409C-BE32-E72D297353CC}">
                <c16:uniqueId val="{0000000A-C897-42A5-BC88-088C3BC2749A}"/>
              </c:ext>
            </c:extLst>
          </c:dPt>
          <c:dPt>
            <c:idx val="23"/>
            <c:invertIfNegative val="0"/>
            <c:bubble3D val="0"/>
            <c:spPr>
              <a:solidFill>
                <a:srgbClr val="9DB9D2">
                  <a:alpha val="55000"/>
                </a:srgbClr>
              </a:solidFill>
              <a:ln>
                <a:noFill/>
                <a:prstDash val="solid"/>
              </a:ln>
            </c:spPr>
            <c:extLst>
              <c:ext xmlns:c16="http://schemas.microsoft.com/office/drawing/2014/chart" uri="{C3380CC4-5D6E-409C-BE32-E72D297353CC}">
                <c16:uniqueId val="{0000000B-C897-42A5-BC88-088C3BC2749A}"/>
              </c:ext>
            </c:extLst>
          </c:dPt>
          <c:cat>
            <c:strRef>
              <c:f>Chart_Data!$A$63:$A$86</c:f>
              <c:strCache>
                <c:ptCount val="24"/>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strCache>
            </c:strRef>
          </c:cat>
          <c:val>
            <c:numRef>
              <c:f>Chart_Data!$C$63:$C$86</c:f>
              <c:numCache>
                <c:formatCode>#,##0,;\(#,##0,\);"-"</c:formatCode>
                <c:ptCount val="24"/>
                <c:pt idx="0">
                  <c:v>208523.88</c:v>
                </c:pt>
                <c:pt idx="1">
                  <c:v>450903.12</c:v>
                </c:pt>
                <c:pt idx="2">
                  <c:v>339030.96</c:v>
                </c:pt>
                <c:pt idx="3">
                  <c:v>568274.88</c:v>
                </c:pt>
                <c:pt idx="4">
                  <c:v>214662.36</c:v>
                </c:pt>
                <c:pt idx="5">
                  <c:v>332059.56000000011</c:v>
                </c:pt>
                <c:pt idx="6">
                  <c:v>364045.92</c:v>
                </c:pt>
                <c:pt idx="7">
                  <c:v>339460.67999999988</c:v>
                </c:pt>
                <c:pt idx="8">
                  <c:v>295512.48</c:v>
                </c:pt>
                <c:pt idx="9">
                  <c:v>493697.64</c:v>
                </c:pt>
                <c:pt idx="10">
                  <c:v>366765</c:v>
                </c:pt>
                <c:pt idx="11">
                  <c:v>245648.28</c:v>
                </c:pt>
                <c:pt idx="12">
                  <c:v>361621.20000000013</c:v>
                </c:pt>
                <c:pt idx="13">
                  <c:v>303632.88</c:v>
                </c:pt>
                <c:pt idx="14">
                  <c:v>237688.44</c:v>
                </c:pt>
                <c:pt idx="15">
                  <c:v>820157.04</c:v>
                </c:pt>
                <c:pt idx="16">
                  <c:v>1119731.3999999999</c:v>
                </c:pt>
                <c:pt idx="17">
                  <c:v>510603.96</c:v>
                </c:pt>
                <c:pt idx="18">
                  <c:v>514111.27215857373</c:v>
                </c:pt>
                <c:pt idx="19">
                  <c:v>514111.27215857373</c:v>
                </c:pt>
                <c:pt idx="20">
                  <c:v>514111.27215857373</c:v>
                </c:pt>
                <c:pt idx="21">
                  <c:v>514111.27215857373</c:v>
                </c:pt>
                <c:pt idx="22">
                  <c:v>514111.27215857373</c:v>
                </c:pt>
                <c:pt idx="23">
                  <c:v>514111.27215857373</c:v>
                </c:pt>
              </c:numCache>
            </c:numRef>
          </c:val>
          <c:extLst>
            <c:ext xmlns:c16="http://schemas.microsoft.com/office/drawing/2014/chart" uri="{C3380CC4-5D6E-409C-BE32-E72D297353CC}">
              <c16:uniqueId val="{00000001-F3CF-45AB-A8DA-12D36C3D5F43}"/>
            </c:ext>
          </c:extLst>
        </c:ser>
        <c:ser>
          <c:idx val="2"/>
          <c:order val="2"/>
          <c:tx>
            <c:strRef>
              <c:f>Chart_Data!$D$62</c:f>
              <c:strCache>
                <c:ptCount val="1"/>
                <c:pt idx="0">
                  <c:v>Reactivation</c:v>
                </c:pt>
              </c:strCache>
            </c:strRef>
          </c:tx>
          <c:spPr>
            <a:solidFill>
              <a:srgbClr val="3E7D6B"/>
            </a:solidFill>
            <a:ln>
              <a:noFill/>
              <a:prstDash val="solid"/>
            </a:ln>
          </c:spPr>
          <c:invertIfNegative val="0"/>
          <c:dPt>
            <c:idx val="18"/>
            <c:invertIfNegative val="0"/>
            <c:bubble3D val="0"/>
            <c:spPr>
              <a:solidFill>
                <a:srgbClr val="3E7D6B">
                  <a:alpha val="55000"/>
                </a:srgbClr>
              </a:solidFill>
              <a:ln>
                <a:noFill/>
                <a:prstDash val="solid"/>
              </a:ln>
            </c:spPr>
            <c:extLst>
              <c:ext xmlns:c16="http://schemas.microsoft.com/office/drawing/2014/chart" uri="{C3380CC4-5D6E-409C-BE32-E72D297353CC}">
                <c16:uniqueId val="{0000000C-C897-42A5-BC88-088C3BC2749A}"/>
              </c:ext>
            </c:extLst>
          </c:dPt>
          <c:dPt>
            <c:idx val="19"/>
            <c:invertIfNegative val="0"/>
            <c:bubble3D val="0"/>
            <c:spPr>
              <a:solidFill>
                <a:srgbClr val="3E7D6B">
                  <a:alpha val="55000"/>
                </a:srgbClr>
              </a:solidFill>
              <a:ln>
                <a:noFill/>
                <a:prstDash val="solid"/>
              </a:ln>
            </c:spPr>
            <c:extLst>
              <c:ext xmlns:c16="http://schemas.microsoft.com/office/drawing/2014/chart" uri="{C3380CC4-5D6E-409C-BE32-E72D297353CC}">
                <c16:uniqueId val="{0000000D-C897-42A5-BC88-088C3BC2749A}"/>
              </c:ext>
            </c:extLst>
          </c:dPt>
          <c:dPt>
            <c:idx val="20"/>
            <c:invertIfNegative val="0"/>
            <c:bubble3D val="0"/>
            <c:spPr>
              <a:solidFill>
                <a:srgbClr val="3E7D6B">
                  <a:alpha val="55000"/>
                </a:srgbClr>
              </a:solidFill>
              <a:ln>
                <a:noFill/>
                <a:prstDash val="solid"/>
              </a:ln>
            </c:spPr>
            <c:extLst>
              <c:ext xmlns:c16="http://schemas.microsoft.com/office/drawing/2014/chart" uri="{C3380CC4-5D6E-409C-BE32-E72D297353CC}">
                <c16:uniqueId val="{0000000E-C897-42A5-BC88-088C3BC2749A}"/>
              </c:ext>
            </c:extLst>
          </c:dPt>
          <c:dPt>
            <c:idx val="21"/>
            <c:invertIfNegative val="0"/>
            <c:bubble3D val="0"/>
            <c:spPr>
              <a:solidFill>
                <a:srgbClr val="3E7D6B">
                  <a:alpha val="55000"/>
                </a:srgbClr>
              </a:solidFill>
              <a:ln>
                <a:noFill/>
                <a:prstDash val="solid"/>
              </a:ln>
            </c:spPr>
            <c:extLst>
              <c:ext xmlns:c16="http://schemas.microsoft.com/office/drawing/2014/chart" uri="{C3380CC4-5D6E-409C-BE32-E72D297353CC}">
                <c16:uniqueId val="{0000000F-C897-42A5-BC88-088C3BC2749A}"/>
              </c:ext>
            </c:extLst>
          </c:dPt>
          <c:dPt>
            <c:idx val="22"/>
            <c:invertIfNegative val="0"/>
            <c:bubble3D val="0"/>
            <c:spPr>
              <a:solidFill>
                <a:srgbClr val="3E7D6B">
                  <a:alpha val="55000"/>
                </a:srgbClr>
              </a:solidFill>
              <a:ln>
                <a:noFill/>
                <a:prstDash val="solid"/>
              </a:ln>
            </c:spPr>
            <c:extLst>
              <c:ext xmlns:c16="http://schemas.microsoft.com/office/drawing/2014/chart" uri="{C3380CC4-5D6E-409C-BE32-E72D297353CC}">
                <c16:uniqueId val="{00000010-C897-42A5-BC88-088C3BC2749A}"/>
              </c:ext>
            </c:extLst>
          </c:dPt>
          <c:dPt>
            <c:idx val="23"/>
            <c:invertIfNegative val="0"/>
            <c:bubble3D val="0"/>
            <c:spPr>
              <a:solidFill>
                <a:srgbClr val="3E7D6B">
                  <a:alpha val="55000"/>
                </a:srgbClr>
              </a:solidFill>
              <a:ln>
                <a:noFill/>
                <a:prstDash val="solid"/>
              </a:ln>
            </c:spPr>
            <c:extLst>
              <c:ext xmlns:c16="http://schemas.microsoft.com/office/drawing/2014/chart" uri="{C3380CC4-5D6E-409C-BE32-E72D297353CC}">
                <c16:uniqueId val="{00000011-C897-42A5-BC88-088C3BC2749A}"/>
              </c:ext>
            </c:extLst>
          </c:dPt>
          <c:cat>
            <c:strRef>
              <c:f>Chart_Data!$A$63:$A$86</c:f>
              <c:strCache>
                <c:ptCount val="24"/>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strCache>
            </c:strRef>
          </c:cat>
          <c:val>
            <c:numRef>
              <c:f>Chart_Data!$D$63:$D$86</c:f>
              <c:numCache>
                <c:formatCode>#,##0,;\(#,##0,\);"-"</c:formatCode>
                <c:ptCount val="24"/>
                <c:pt idx="0">
                  <c:v>5379</c:v>
                </c:pt>
                <c:pt idx="1">
                  <c:v>0</c:v>
                </c:pt>
                <c:pt idx="2">
                  <c:v>7012.2</c:v>
                </c:pt>
                <c:pt idx="3">
                  <c:v>41077.32</c:v>
                </c:pt>
                <c:pt idx="4">
                  <c:v>12462.48</c:v>
                </c:pt>
                <c:pt idx="5">
                  <c:v>0</c:v>
                </c:pt>
                <c:pt idx="6">
                  <c:v>2735.28</c:v>
                </c:pt>
                <c:pt idx="7">
                  <c:v>2107.44</c:v>
                </c:pt>
                <c:pt idx="8">
                  <c:v>0</c:v>
                </c:pt>
                <c:pt idx="9">
                  <c:v>0</c:v>
                </c:pt>
                <c:pt idx="10">
                  <c:v>0</c:v>
                </c:pt>
                <c:pt idx="11">
                  <c:v>37735.800000000003</c:v>
                </c:pt>
                <c:pt idx="12">
                  <c:v>3132</c:v>
                </c:pt>
                <c:pt idx="13">
                  <c:v>10064.52</c:v>
                </c:pt>
                <c:pt idx="14">
                  <c:v>7982.76</c:v>
                </c:pt>
                <c:pt idx="15">
                  <c:v>3643.2</c:v>
                </c:pt>
                <c:pt idx="16">
                  <c:v>14374.56</c:v>
                </c:pt>
                <c:pt idx="17">
                  <c:v>20643.240000000002</c:v>
                </c:pt>
                <c:pt idx="18">
                  <c:v>8534.9</c:v>
                </c:pt>
                <c:pt idx="19">
                  <c:v>8534.9</c:v>
                </c:pt>
                <c:pt idx="20">
                  <c:v>8534.9</c:v>
                </c:pt>
                <c:pt idx="21">
                  <c:v>8534.9</c:v>
                </c:pt>
                <c:pt idx="22">
                  <c:v>8534.9</c:v>
                </c:pt>
                <c:pt idx="23">
                  <c:v>8534.9</c:v>
                </c:pt>
              </c:numCache>
            </c:numRef>
          </c:val>
          <c:extLst>
            <c:ext xmlns:c16="http://schemas.microsoft.com/office/drawing/2014/chart" uri="{C3380CC4-5D6E-409C-BE32-E72D297353CC}">
              <c16:uniqueId val="{00000002-F3CF-45AB-A8DA-12D36C3D5F43}"/>
            </c:ext>
          </c:extLst>
        </c:ser>
        <c:ser>
          <c:idx val="3"/>
          <c:order val="3"/>
          <c:tx>
            <c:strRef>
              <c:f>Chart_Data!$E$62</c:f>
              <c:strCache>
                <c:ptCount val="1"/>
                <c:pt idx="0">
                  <c:v>Contraction</c:v>
                </c:pt>
              </c:strCache>
            </c:strRef>
          </c:tx>
          <c:spPr>
            <a:solidFill>
              <a:srgbClr val="9C6516"/>
            </a:solidFill>
            <a:ln>
              <a:noFill/>
              <a:prstDash val="solid"/>
            </a:ln>
          </c:spPr>
          <c:invertIfNegative val="0"/>
          <c:dPt>
            <c:idx val="18"/>
            <c:invertIfNegative val="0"/>
            <c:bubble3D val="0"/>
            <c:spPr>
              <a:solidFill>
                <a:srgbClr val="9C6516">
                  <a:alpha val="55000"/>
                </a:srgbClr>
              </a:solidFill>
              <a:ln>
                <a:noFill/>
                <a:prstDash val="solid"/>
              </a:ln>
            </c:spPr>
            <c:extLst>
              <c:ext xmlns:c16="http://schemas.microsoft.com/office/drawing/2014/chart" uri="{C3380CC4-5D6E-409C-BE32-E72D297353CC}">
                <c16:uniqueId val="{00000012-C897-42A5-BC88-088C3BC2749A}"/>
              </c:ext>
            </c:extLst>
          </c:dPt>
          <c:dPt>
            <c:idx val="19"/>
            <c:invertIfNegative val="0"/>
            <c:bubble3D val="0"/>
            <c:spPr>
              <a:solidFill>
                <a:srgbClr val="9C6516">
                  <a:alpha val="55000"/>
                </a:srgbClr>
              </a:solidFill>
              <a:ln>
                <a:noFill/>
                <a:prstDash val="solid"/>
              </a:ln>
            </c:spPr>
            <c:extLst>
              <c:ext xmlns:c16="http://schemas.microsoft.com/office/drawing/2014/chart" uri="{C3380CC4-5D6E-409C-BE32-E72D297353CC}">
                <c16:uniqueId val="{00000013-C897-42A5-BC88-088C3BC2749A}"/>
              </c:ext>
            </c:extLst>
          </c:dPt>
          <c:dPt>
            <c:idx val="20"/>
            <c:invertIfNegative val="0"/>
            <c:bubble3D val="0"/>
            <c:spPr>
              <a:solidFill>
                <a:srgbClr val="9C6516">
                  <a:alpha val="55000"/>
                </a:srgbClr>
              </a:solidFill>
              <a:ln>
                <a:noFill/>
                <a:prstDash val="solid"/>
              </a:ln>
            </c:spPr>
            <c:extLst>
              <c:ext xmlns:c16="http://schemas.microsoft.com/office/drawing/2014/chart" uri="{C3380CC4-5D6E-409C-BE32-E72D297353CC}">
                <c16:uniqueId val="{00000014-C897-42A5-BC88-088C3BC2749A}"/>
              </c:ext>
            </c:extLst>
          </c:dPt>
          <c:dPt>
            <c:idx val="21"/>
            <c:invertIfNegative val="0"/>
            <c:bubble3D val="0"/>
            <c:spPr>
              <a:solidFill>
                <a:srgbClr val="9C6516">
                  <a:alpha val="55000"/>
                </a:srgbClr>
              </a:solidFill>
              <a:ln>
                <a:noFill/>
                <a:prstDash val="solid"/>
              </a:ln>
            </c:spPr>
            <c:extLst>
              <c:ext xmlns:c16="http://schemas.microsoft.com/office/drawing/2014/chart" uri="{C3380CC4-5D6E-409C-BE32-E72D297353CC}">
                <c16:uniqueId val="{00000015-C897-42A5-BC88-088C3BC2749A}"/>
              </c:ext>
            </c:extLst>
          </c:dPt>
          <c:dPt>
            <c:idx val="22"/>
            <c:invertIfNegative val="0"/>
            <c:bubble3D val="0"/>
            <c:spPr>
              <a:solidFill>
                <a:srgbClr val="9C6516">
                  <a:alpha val="55000"/>
                </a:srgbClr>
              </a:solidFill>
              <a:ln>
                <a:noFill/>
                <a:prstDash val="solid"/>
              </a:ln>
            </c:spPr>
            <c:extLst>
              <c:ext xmlns:c16="http://schemas.microsoft.com/office/drawing/2014/chart" uri="{C3380CC4-5D6E-409C-BE32-E72D297353CC}">
                <c16:uniqueId val="{00000016-C897-42A5-BC88-088C3BC2749A}"/>
              </c:ext>
            </c:extLst>
          </c:dPt>
          <c:dPt>
            <c:idx val="23"/>
            <c:invertIfNegative val="0"/>
            <c:bubble3D val="0"/>
            <c:spPr>
              <a:solidFill>
                <a:srgbClr val="9C6516">
                  <a:alpha val="55000"/>
                </a:srgbClr>
              </a:solidFill>
              <a:ln>
                <a:noFill/>
                <a:prstDash val="solid"/>
              </a:ln>
            </c:spPr>
            <c:extLst>
              <c:ext xmlns:c16="http://schemas.microsoft.com/office/drawing/2014/chart" uri="{C3380CC4-5D6E-409C-BE32-E72D297353CC}">
                <c16:uniqueId val="{00000017-C897-42A5-BC88-088C3BC2749A}"/>
              </c:ext>
            </c:extLst>
          </c:dPt>
          <c:cat>
            <c:strRef>
              <c:f>Chart_Data!$A$63:$A$86</c:f>
              <c:strCache>
                <c:ptCount val="24"/>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strCache>
            </c:strRef>
          </c:cat>
          <c:val>
            <c:numRef>
              <c:f>Chart_Data!$E$63:$E$86</c:f>
              <c:numCache>
                <c:formatCode>#,##0,;\(#,##0,\);"-"</c:formatCode>
                <c:ptCount val="24"/>
                <c:pt idx="0">
                  <c:v>-356906.4</c:v>
                </c:pt>
                <c:pt idx="1">
                  <c:v>-110046.24</c:v>
                </c:pt>
                <c:pt idx="2">
                  <c:v>-120597.12</c:v>
                </c:pt>
                <c:pt idx="3">
                  <c:v>-140806.79999999999</c:v>
                </c:pt>
                <c:pt idx="4">
                  <c:v>-91199.88</c:v>
                </c:pt>
                <c:pt idx="5">
                  <c:v>-45796.2</c:v>
                </c:pt>
                <c:pt idx="6">
                  <c:v>-97174.92</c:v>
                </c:pt>
                <c:pt idx="7">
                  <c:v>-73086.12</c:v>
                </c:pt>
                <c:pt idx="8">
                  <c:v>-46792.800000000003</c:v>
                </c:pt>
                <c:pt idx="9">
                  <c:v>-124445.04</c:v>
                </c:pt>
                <c:pt idx="10">
                  <c:v>-173070.72</c:v>
                </c:pt>
                <c:pt idx="11">
                  <c:v>-77452.2</c:v>
                </c:pt>
                <c:pt idx="12">
                  <c:v>-451736.88</c:v>
                </c:pt>
                <c:pt idx="13">
                  <c:v>-150335.16</c:v>
                </c:pt>
                <c:pt idx="14">
                  <c:v>-205926.12</c:v>
                </c:pt>
                <c:pt idx="15">
                  <c:v>-61498.8</c:v>
                </c:pt>
                <c:pt idx="16">
                  <c:v>-139362.12</c:v>
                </c:pt>
                <c:pt idx="17">
                  <c:v>-95907.839999999997</c:v>
                </c:pt>
                <c:pt idx="18">
                  <c:v>-86848.288651548413</c:v>
                </c:pt>
                <c:pt idx="19">
                  <c:v>-99397.3496038679</c:v>
                </c:pt>
                <c:pt idx="20">
                  <c:v>-102725.15900228241</c:v>
                </c:pt>
                <c:pt idx="21">
                  <c:v>-140395.94148762702</c:v>
                </c:pt>
                <c:pt idx="22">
                  <c:v>-183611.10877066088</c:v>
                </c:pt>
                <c:pt idx="23">
                  <c:v>-351650.54688320425</c:v>
                </c:pt>
              </c:numCache>
            </c:numRef>
          </c:val>
          <c:extLst>
            <c:ext xmlns:c16="http://schemas.microsoft.com/office/drawing/2014/chart" uri="{C3380CC4-5D6E-409C-BE32-E72D297353CC}">
              <c16:uniqueId val="{00000003-F3CF-45AB-A8DA-12D36C3D5F43}"/>
            </c:ext>
          </c:extLst>
        </c:ser>
        <c:ser>
          <c:idx val="4"/>
          <c:order val="4"/>
          <c:tx>
            <c:strRef>
              <c:f>Chart_Data!$F$62</c:f>
              <c:strCache>
                <c:ptCount val="1"/>
                <c:pt idx="0">
                  <c:v>Churn</c:v>
                </c:pt>
              </c:strCache>
            </c:strRef>
          </c:tx>
          <c:spPr>
            <a:solidFill>
              <a:srgbClr val="9C1F2E"/>
            </a:solidFill>
            <a:ln>
              <a:noFill/>
              <a:prstDash val="solid"/>
            </a:ln>
          </c:spPr>
          <c:invertIfNegative val="0"/>
          <c:dPt>
            <c:idx val="18"/>
            <c:invertIfNegative val="0"/>
            <c:bubble3D val="0"/>
            <c:spPr>
              <a:solidFill>
                <a:srgbClr val="9C1F2E">
                  <a:alpha val="55000"/>
                </a:srgbClr>
              </a:solidFill>
              <a:ln>
                <a:noFill/>
                <a:prstDash val="solid"/>
              </a:ln>
            </c:spPr>
            <c:extLst>
              <c:ext xmlns:c16="http://schemas.microsoft.com/office/drawing/2014/chart" uri="{C3380CC4-5D6E-409C-BE32-E72D297353CC}">
                <c16:uniqueId val="{00000018-C897-42A5-BC88-088C3BC2749A}"/>
              </c:ext>
            </c:extLst>
          </c:dPt>
          <c:dPt>
            <c:idx val="19"/>
            <c:invertIfNegative val="0"/>
            <c:bubble3D val="0"/>
            <c:spPr>
              <a:solidFill>
                <a:srgbClr val="9C1F2E">
                  <a:alpha val="55000"/>
                </a:srgbClr>
              </a:solidFill>
              <a:ln>
                <a:noFill/>
                <a:prstDash val="solid"/>
              </a:ln>
            </c:spPr>
            <c:extLst>
              <c:ext xmlns:c16="http://schemas.microsoft.com/office/drawing/2014/chart" uri="{C3380CC4-5D6E-409C-BE32-E72D297353CC}">
                <c16:uniqueId val="{00000019-C897-42A5-BC88-088C3BC2749A}"/>
              </c:ext>
            </c:extLst>
          </c:dPt>
          <c:dPt>
            <c:idx val="20"/>
            <c:invertIfNegative val="0"/>
            <c:bubble3D val="0"/>
            <c:spPr>
              <a:solidFill>
                <a:srgbClr val="9C1F2E">
                  <a:alpha val="55000"/>
                </a:srgbClr>
              </a:solidFill>
              <a:ln>
                <a:noFill/>
                <a:prstDash val="solid"/>
              </a:ln>
            </c:spPr>
            <c:extLst>
              <c:ext xmlns:c16="http://schemas.microsoft.com/office/drawing/2014/chart" uri="{C3380CC4-5D6E-409C-BE32-E72D297353CC}">
                <c16:uniqueId val="{0000001A-C897-42A5-BC88-088C3BC2749A}"/>
              </c:ext>
            </c:extLst>
          </c:dPt>
          <c:dPt>
            <c:idx val="21"/>
            <c:invertIfNegative val="0"/>
            <c:bubble3D val="0"/>
            <c:spPr>
              <a:solidFill>
                <a:srgbClr val="9C1F2E">
                  <a:alpha val="55000"/>
                </a:srgbClr>
              </a:solidFill>
              <a:ln>
                <a:noFill/>
                <a:prstDash val="solid"/>
              </a:ln>
            </c:spPr>
            <c:extLst>
              <c:ext xmlns:c16="http://schemas.microsoft.com/office/drawing/2014/chart" uri="{C3380CC4-5D6E-409C-BE32-E72D297353CC}">
                <c16:uniqueId val="{0000001B-C897-42A5-BC88-088C3BC2749A}"/>
              </c:ext>
            </c:extLst>
          </c:dPt>
          <c:dPt>
            <c:idx val="22"/>
            <c:invertIfNegative val="0"/>
            <c:bubble3D val="0"/>
            <c:spPr>
              <a:solidFill>
                <a:srgbClr val="9C1F2E">
                  <a:alpha val="55000"/>
                </a:srgbClr>
              </a:solidFill>
              <a:ln>
                <a:noFill/>
                <a:prstDash val="solid"/>
              </a:ln>
            </c:spPr>
            <c:extLst>
              <c:ext xmlns:c16="http://schemas.microsoft.com/office/drawing/2014/chart" uri="{C3380CC4-5D6E-409C-BE32-E72D297353CC}">
                <c16:uniqueId val="{0000001C-C897-42A5-BC88-088C3BC2749A}"/>
              </c:ext>
            </c:extLst>
          </c:dPt>
          <c:dPt>
            <c:idx val="23"/>
            <c:invertIfNegative val="0"/>
            <c:bubble3D val="0"/>
            <c:spPr>
              <a:solidFill>
                <a:srgbClr val="9C1F2E">
                  <a:alpha val="55000"/>
                </a:srgbClr>
              </a:solidFill>
              <a:ln>
                <a:noFill/>
                <a:prstDash val="solid"/>
              </a:ln>
            </c:spPr>
            <c:extLst>
              <c:ext xmlns:c16="http://schemas.microsoft.com/office/drawing/2014/chart" uri="{C3380CC4-5D6E-409C-BE32-E72D297353CC}">
                <c16:uniqueId val="{0000001D-C897-42A5-BC88-088C3BC2749A}"/>
              </c:ext>
            </c:extLst>
          </c:dPt>
          <c:cat>
            <c:strRef>
              <c:f>Chart_Data!$A$63:$A$86</c:f>
              <c:strCache>
                <c:ptCount val="24"/>
                <c:pt idx="0">
                  <c:v>Jan-25</c:v>
                </c:pt>
                <c:pt idx="1">
                  <c:v>Feb-25</c:v>
                </c:pt>
                <c:pt idx="2">
                  <c:v>Mar-25</c:v>
                </c:pt>
                <c:pt idx="3">
                  <c:v>Apr-25</c:v>
                </c:pt>
                <c:pt idx="4">
                  <c:v>May-25</c:v>
                </c:pt>
                <c:pt idx="5">
                  <c:v>Jun-25</c:v>
                </c:pt>
                <c:pt idx="6">
                  <c:v>Jul-25</c:v>
                </c:pt>
                <c:pt idx="7">
                  <c:v>Aug-25</c:v>
                </c:pt>
                <c:pt idx="8">
                  <c:v>Sep-25</c:v>
                </c:pt>
                <c:pt idx="9">
                  <c:v>Oct-25</c:v>
                </c:pt>
                <c:pt idx="10">
                  <c:v>Nov-25</c:v>
                </c:pt>
                <c:pt idx="11">
                  <c:v>Dec-25</c:v>
                </c:pt>
                <c:pt idx="12">
                  <c:v>Jan-26</c:v>
                </c:pt>
                <c:pt idx="13">
                  <c:v>Feb-26</c:v>
                </c:pt>
                <c:pt idx="14">
                  <c:v>Mar-26</c:v>
                </c:pt>
                <c:pt idx="15">
                  <c:v>Apr-26</c:v>
                </c:pt>
                <c:pt idx="16">
                  <c:v>May-26</c:v>
                </c:pt>
                <c:pt idx="17">
                  <c:v>Jun-26</c:v>
                </c:pt>
                <c:pt idx="18">
                  <c:v>Jul-26</c:v>
                </c:pt>
                <c:pt idx="19">
                  <c:v>Aug-26</c:v>
                </c:pt>
                <c:pt idx="20">
                  <c:v>Sep-26</c:v>
                </c:pt>
                <c:pt idx="21">
                  <c:v>Oct-26</c:v>
                </c:pt>
                <c:pt idx="22">
                  <c:v>Nov-26</c:v>
                </c:pt>
                <c:pt idx="23">
                  <c:v>Dec-26</c:v>
                </c:pt>
              </c:strCache>
            </c:strRef>
          </c:cat>
          <c:val>
            <c:numRef>
              <c:f>Chart_Data!$F$63:$F$86</c:f>
              <c:numCache>
                <c:formatCode>#,##0,;\(#,##0,\);"-"</c:formatCode>
                <c:ptCount val="24"/>
                <c:pt idx="0">
                  <c:v>-433404.48</c:v>
                </c:pt>
                <c:pt idx="1">
                  <c:v>-189502.92</c:v>
                </c:pt>
                <c:pt idx="2">
                  <c:v>-125741.04</c:v>
                </c:pt>
                <c:pt idx="3">
                  <c:v>-142746.84</c:v>
                </c:pt>
                <c:pt idx="4">
                  <c:v>-240511.2</c:v>
                </c:pt>
                <c:pt idx="5">
                  <c:v>-147946.44</c:v>
                </c:pt>
                <c:pt idx="6">
                  <c:v>-88185</c:v>
                </c:pt>
                <c:pt idx="7">
                  <c:v>-197466.12</c:v>
                </c:pt>
                <c:pt idx="8">
                  <c:v>-189627.96</c:v>
                </c:pt>
                <c:pt idx="9">
                  <c:v>-162396</c:v>
                </c:pt>
                <c:pt idx="10">
                  <c:v>-328723.8</c:v>
                </c:pt>
                <c:pt idx="11">
                  <c:v>-220801.08</c:v>
                </c:pt>
                <c:pt idx="12">
                  <c:v>-188907.24</c:v>
                </c:pt>
                <c:pt idx="13">
                  <c:v>-113861.4</c:v>
                </c:pt>
                <c:pt idx="14">
                  <c:v>-233182.92</c:v>
                </c:pt>
                <c:pt idx="15">
                  <c:v>-286825.44</c:v>
                </c:pt>
                <c:pt idx="16">
                  <c:v>-119750.52</c:v>
                </c:pt>
                <c:pt idx="17">
                  <c:v>-562121.76</c:v>
                </c:pt>
                <c:pt idx="18">
                  <c:v>-160575.32635501667</c:v>
                </c:pt>
                <c:pt idx="19">
                  <c:v>-188223.04595611405</c:v>
                </c:pt>
                <c:pt idx="20">
                  <c:v>-188558.21999984354</c:v>
                </c:pt>
                <c:pt idx="21">
                  <c:v>-232938.51550390455</c:v>
                </c:pt>
                <c:pt idx="22">
                  <c:v>-301558.89956360729</c:v>
                </c:pt>
                <c:pt idx="23">
                  <c:v>-482466.41994055687</c:v>
                </c:pt>
              </c:numCache>
            </c:numRef>
          </c:val>
          <c:extLst>
            <c:ext xmlns:c16="http://schemas.microsoft.com/office/drawing/2014/chart" uri="{C3380CC4-5D6E-409C-BE32-E72D297353CC}">
              <c16:uniqueId val="{00000004-F3CF-45AB-A8DA-12D36C3D5F43}"/>
            </c:ext>
          </c:extLst>
        </c:ser>
        <c:dLbls>
          <c:showLegendKey val="0"/>
          <c:showVal val="0"/>
          <c:showCatName val="0"/>
          <c:showSerName val="0"/>
          <c:showPercent val="0"/>
          <c:showBubbleSize val="0"/>
        </c:dLbls>
        <c:gapWidth val="40"/>
        <c:overlap val="100"/>
        <c:axId val="10"/>
        <c:axId val="100"/>
      </c:barChart>
      <c:catAx>
        <c:axId val="10"/>
        <c:scaling>
          <c:orientation val="minMax"/>
        </c:scaling>
        <c:delete val="0"/>
        <c:axPos val="b"/>
        <c:numFmt formatCode="General" sourceLinked="1"/>
        <c:majorTickMark val="out"/>
        <c:minorTickMark val="none"/>
        <c:tickLblPos val="low"/>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0"/>
        <c:crosses val="autoZero"/>
        <c:auto val="1"/>
        <c:lblAlgn val="ctr"/>
        <c:lblOffset val="100"/>
        <c:tickLblSkip val="3"/>
        <c:tickMarkSkip val="3"/>
        <c:noMultiLvlLbl val="1"/>
      </c:catAx>
      <c:valAx>
        <c:axId val="100"/>
        <c:scaling>
          <c:orientation val="minMax"/>
        </c:scaling>
        <c:delete val="0"/>
        <c:axPos val="l"/>
        <c:majorGridlines>
          <c:spPr>
            <a:ln w="9525">
              <a:solidFill>
                <a:srgbClr val="E8E8E8"/>
              </a:solidFill>
              <a:prstDash val="solid"/>
            </a:ln>
          </c:spPr>
        </c:majorGridlines>
        <c:numFmt formatCode="#,##0,"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majorUnit val="5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0"/>
          <c:order val="0"/>
          <c:tx>
            <c:v>SMB</c:v>
          </c:tx>
          <c:spPr>
            <a:solidFill>
              <a:srgbClr val="9DB9D2"/>
            </a:solidFill>
            <a:ln>
              <a:noFill/>
            </a:ln>
            <a:effectLst/>
            <a:extLst>
              <a:ext uri="{91240B29-F687-4F45-9708-019B960494DF}">
                <a14:hiddenLine xmlns:a14="http://schemas.microsoft.com/office/drawing/2010/main">
                  <a:noFill/>
                </a14:hiddenLine>
              </a:ext>
            </a:extLst>
          </c:spPr>
          <c:invertIfNegative val="0"/>
          <c:cat>
            <c:strRef>
              <c:f>'ARR &amp; Retention'!$B$119:$B$124</c:f>
              <c:strCache>
                <c:ptCount val="6"/>
                <c:pt idx="0">
                  <c:v>2026Q3</c:v>
                </c:pt>
                <c:pt idx="1">
                  <c:v>2026Q4</c:v>
                </c:pt>
                <c:pt idx="2">
                  <c:v>2027Q1</c:v>
                </c:pt>
                <c:pt idx="3">
                  <c:v>2027Q2</c:v>
                </c:pt>
                <c:pt idx="4">
                  <c:v>2027Q3</c:v>
                </c:pt>
                <c:pt idx="5">
                  <c:v>2027Q4</c:v>
                </c:pt>
              </c:strCache>
            </c:strRef>
          </c:cat>
          <c:val>
            <c:numRef>
              <c:f>'ARR &amp; Retention'!$C$119:$C$124</c:f>
              <c:numCache>
                <c:formatCode>\$#,##0.0,,"M";\(\$#,##0.0,,"M"\);"-"</c:formatCode>
                <c:ptCount val="6"/>
                <c:pt idx="0">
                  <c:v>230751.48</c:v>
                </c:pt>
                <c:pt idx="1">
                  <c:v>499151.52</c:v>
                </c:pt>
                <c:pt idx="2">
                  <c:v>480256.56</c:v>
                </c:pt>
                <c:pt idx="3">
                  <c:v>515040.36</c:v>
                </c:pt>
                <c:pt idx="4">
                  <c:v>15480.24</c:v>
                </c:pt>
                <c:pt idx="5">
                  <c:v>20829.84</c:v>
                </c:pt>
              </c:numCache>
            </c:numRef>
          </c:val>
          <c:extLst>
            <c:ext xmlns:c16="http://schemas.microsoft.com/office/drawing/2014/chart" uri="{C3380CC4-5D6E-409C-BE32-E72D297353CC}">
              <c16:uniqueId val="{00000001-F6EF-486D-A6C6-1FC95FF6A0E5}"/>
            </c:ext>
          </c:extLst>
        </c:ser>
        <c:ser>
          <c:idx val="1"/>
          <c:order val="1"/>
          <c:tx>
            <c:v>Mid-Market</c:v>
          </c:tx>
          <c:spPr>
            <a:solidFill>
              <a:srgbClr val="2E5E8C"/>
            </a:solidFill>
            <a:ln>
              <a:noFill/>
            </a:ln>
            <a:effectLst/>
            <a:extLst>
              <a:ext uri="{91240B29-F687-4F45-9708-019B960494DF}">
                <a14:hiddenLine xmlns:a14="http://schemas.microsoft.com/office/drawing/2010/main">
                  <a:noFill/>
                </a14:hiddenLine>
              </a:ext>
            </a:extLst>
          </c:spPr>
          <c:invertIfNegative val="0"/>
          <c:cat>
            <c:strRef>
              <c:f>'ARR &amp; Retention'!$B$119:$B$124</c:f>
              <c:strCache>
                <c:ptCount val="6"/>
                <c:pt idx="0">
                  <c:v>2026Q3</c:v>
                </c:pt>
                <c:pt idx="1">
                  <c:v>2026Q4</c:v>
                </c:pt>
                <c:pt idx="2">
                  <c:v>2027Q1</c:v>
                </c:pt>
                <c:pt idx="3">
                  <c:v>2027Q2</c:v>
                </c:pt>
                <c:pt idx="4">
                  <c:v>2027Q3</c:v>
                </c:pt>
                <c:pt idx="5">
                  <c:v>2027Q4</c:v>
                </c:pt>
              </c:strCache>
            </c:strRef>
          </c:cat>
          <c:val>
            <c:numRef>
              <c:f>'ARR &amp; Retention'!$D$119:$D$124</c:f>
              <c:numCache>
                <c:formatCode>\$#,##0.0,,"M";\(\$#,##0.0,,"M"\);"-"</c:formatCode>
                <c:ptCount val="6"/>
                <c:pt idx="0">
                  <c:v>2054292.48</c:v>
                </c:pt>
                <c:pt idx="1">
                  <c:v>3942065.52</c:v>
                </c:pt>
                <c:pt idx="2">
                  <c:v>4137916.44</c:v>
                </c:pt>
                <c:pt idx="3">
                  <c:v>3068660.76</c:v>
                </c:pt>
                <c:pt idx="4">
                  <c:v>450161.52</c:v>
                </c:pt>
                <c:pt idx="5">
                  <c:v>239958.36</c:v>
                </c:pt>
              </c:numCache>
            </c:numRef>
          </c:val>
          <c:extLst>
            <c:ext xmlns:c16="http://schemas.microsoft.com/office/drawing/2014/chart" uri="{C3380CC4-5D6E-409C-BE32-E72D297353CC}">
              <c16:uniqueId val="{00000002-F6EF-486D-A6C6-1FC95FF6A0E5}"/>
            </c:ext>
          </c:extLst>
        </c:ser>
        <c:ser>
          <c:idx val="2"/>
          <c:order val="2"/>
          <c:tx>
            <c:v>Enterprise</c:v>
          </c:tx>
          <c:spPr>
            <a:solidFill>
              <a:srgbClr val="1F3864"/>
            </a:solidFill>
            <a:ln>
              <a:noFill/>
            </a:ln>
            <a:effectLst/>
            <a:extLst>
              <a:ext uri="{91240B29-F687-4F45-9708-019B960494DF}">
                <a14:hiddenLine xmlns:a14="http://schemas.microsoft.com/office/drawing/2010/main">
                  <a:noFill/>
                </a14:hiddenLine>
              </a:ext>
            </a:extLst>
          </c:spPr>
          <c:invertIfNegative val="0"/>
          <c:cat>
            <c:strRef>
              <c:f>'ARR &amp; Retention'!$B$119:$B$124</c:f>
              <c:strCache>
                <c:ptCount val="6"/>
                <c:pt idx="0">
                  <c:v>2026Q3</c:v>
                </c:pt>
                <c:pt idx="1">
                  <c:v>2026Q4</c:v>
                </c:pt>
                <c:pt idx="2">
                  <c:v>2027Q1</c:v>
                </c:pt>
                <c:pt idx="3">
                  <c:v>2027Q2</c:v>
                </c:pt>
                <c:pt idx="4">
                  <c:v>2027Q3</c:v>
                </c:pt>
                <c:pt idx="5">
                  <c:v>2027Q4</c:v>
                </c:pt>
              </c:strCache>
            </c:strRef>
          </c:cat>
          <c:val>
            <c:numRef>
              <c:f>'ARR &amp; Retention'!$E$119:$E$124</c:f>
              <c:numCache>
                <c:formatCode>\$#,##0.0,,"M";\(\$#,##0.0,,"M"\);"-"</c:formatCode>
                <c:ptCount val="6"/>
                <c:pt idx="0">
                  <c:v>831189.48</c:v>
                </c:pt>
                <c:pt idx="1">
                  <c:v>3463115.76</c:v>
                </c:pt>
                <c:pt idx="2">
                  <c:v>3761399.88</c:v>
                </c:pt>
                <c:pt idx="3">
                  <c:v>766476.72</c:v>
                </c:pt>
                <c:pt idx="4">
                  <c:v>425074.32</c:v>
                </c:pt>
                <c:pt idx="5">
                  <c:v>299074.44</c:v>
                </c:pt>
              </c:numCache>
            </c:numRef>
          </c:val>
          <c:extLst>
            <c:ext xmlns:c16="http://schemas.microsoft.com/office/drawing/2014/chart" uri="{C3380CC4-5D6E-409C-BE32-E72D297353CC}">
              <c16:uniqueId val="{00000003-F6EF-486D-A6C6-1FC95FF6A0E5}"/>
            </c:ext>
          </c:extLst>
        </c:ser>
        <c:dLbls>
          <c:showLegendKey val="0"/>
          <c:showVal val="0"/>
          <c:showCatName val="0"/>
          <c:showSerName val="0"/>
          <c:showPercent val="0"/>
          <c:showBubbleSize val="0"/>
        </c:dLbls>
        <c:gapWidth val="60"/>
        <c:overlap val="100"/>
        <c:axId val="1825211088"/>
        <c:axId val="1222821040"/>
      </c:barChart>
      <c:catAx>
        <c:axId val="1825211088"/>
        <c:scaling>
          <c:orientation val="minMax"/>
        </c:scaling>
        <c:delete val="0"/>
        <c:axPos val="b"/>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222821040"/>
        <c:crosses val="autoZero"/>
        <c:auto val="1"/>
        <c:lblAlgn val="ctr"/>
        <c:lblOffset val="100"/>
        <c:noMultiLvlLbl val="0"/>
      </c:catAx>
      <c:valAx>
        <c:axId val="1222821040"/>
        <c:scaling>
          <c:orientation val="minMax"/>
        </c:scaling>
        <c:delete val="0"/>
        <c:axPos val="l"/>
        <c:majorGridlines>
          <c:spPr>
            <a:ln w="9525">
              <a:solidFill>
                <a:srgbClr val="E8E8E8"/>
              </a:solidFill>
            </a:ln>
          </c:spPr>
        </c:majorGridlines>
        <c:numFmt formatCode="&quot;$&quot;#,##0,,&quot;M&quot;"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825211088"/>
        <c:crosses val="autoZero"/>
        <c:crossBetween val="between"/>
        <c:majorUnit val="20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NRR</c:v>
          </c:tx>
          <c:spPr>
            <a:ln w="38100">
              <a:solidFill>
                <a:srgbClr val="2E5E8C"/>
              </a:solidFill>
            </a:ln>
          </c:spPr>
          <c:marker>
            <c:symbol val="none"/>
          </c:marker>
          <c:dLbls>
            <c:dLbl>
              <c:idx val="18"/>
              <c:numFmt formatCode="0.0%" sourceLinked="0"/>
              <c:spPr>
                <a:noFill/>
                <a:ln>
                  <a:noFill/>
                </a:ln>
                <a:effectLs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02E-4654-8CD6-2F90EEC6299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Chart_Data!$A$176:$A$194</c:f>
              <c:strCache>
                <c:ptCount val="19"/>
                <c:pt idx="0">
                  <c:v>Dec-24</c:v>
                </c:pt>
                <c:pt idx="1">
                  <c:v>Jan-25</c:v>
                </c:pt>
                <c:pt idx="2">
                  <c:v>Feb-25</c:v>
                </c:pt>
                <c:pt idx="3">
                  <c:v>Mar-25</c:v>
                </c:pt>
                <c:pt idx="4">
                  <c:v>Apr-25</c:v>
                </c:pt>
                <c:pt idx="5">
                  <c:v>May-25</c:v>
                </c:pt>
                <c:pt idx="6">
                  <c:v>Jun-25</c:v>
                </c:pt>
                <c:pt idx="7">
                  <c:v>Jul-25</c:v>
                </c:pt>
                <c:pt idx="8">
                  <c:v>Aug-25</c:v>
                </c:pt>
                <c:pt idx="9">
                  <c:v>Sep-25</c:v>
                </c:pt>
                <c:pt idx="10">
                  <c:v>Oct-25</c:v>
                </c:pt>
                <c:pt idx="11">
                  <c:v>Nov-25</c:v>
                </c:pt>
                <c:pt idx="12">
                  <c:v>Dec-25</c:v>
                </c:pt>
                <c:pt idx="13">
                  <c:v>Jan-26</c:v>
                </c:pt>
                <c:pt idx="14">
                  <c:v>Feb-26</c:v>
                </c:pt>
                <c:pt idx="15">
                  <c:v>Mar-26</c:v>
                </c:pt>
                <c:pt idx="16">
                  <c:v>Apr-26</c:v>
                </c:pt>
                <c:pt idx="17">
                  <c:v>May-26</c:v>
                </c:pt>
                <c:pt idx="18">
                  <c:v>Jun-26</c:v>
                </c:pt>
              </c:strCache>
            </c:strRef>
          </c:cat>
          <c:val>
            <c:numRef>
              <c:f>Chart_Data!$B$176:$B$194</c:f>
              <c:numCache>
                <c:formatCode>General</c:formatCode>
                <c:ptCount val="19"/>
                <c:pt idx="0">
                  <c:v>0.998416840067466</c:v>
                </c:pt>
                <c:pt idx="1">
                  <c:v>0.981346125464852</c:v>
                </c:pt>
                <c:pt idx="2">
                  <c:v>0.99112616544966603</c:v>
                </c:pt>
                <c:pt idx="3">
                  <c:v>0.99723105281282642</c:v>
                </c:pt>
                <c:pt idx="4">
                  <c:v>0.99808923238269598</c:v>
                </c:pt>
                <c:pt idx="5">
                  <c:v>0.99096034038803305</c:v>
                </c:pt>
                <c:pt idx="6">
                  <c:v>0.99365193449215383</c:v>
                </c:pt>
                <c:pt idx="7">
                  <c:v>0.99672188463912503</c:v>
                </c:pt>
                <c:pt idx="8">
                  <c:v>1.006461373024454</c:v>
                </c:pt>
                <c:pt idx="9">
                  <c:v>1.003269008683046</c:v>
                </c:pt>
                <c:pt idx="10">
                  <c:v>1.0136189521213179</c:v>
                </c:pt>
                <c:pt idx="11">
                  <c:v>0.99750061109359822</c:v>
                </c:pt>
                <c:pt idx="12">
                  <c:v>1.0025108285104081</c:v>
                </c:pt>
                <c:pt idx="13">
                  <c:v>1.0111161649991609</c:v>
                </c:pt>
                <c:pt idx="14">
                  <c:v>1.0053468819927831</c:v>
                </c:pt>
                <c:pt idx="15">
                  <c:v>0.99565965250964883</c:v>
                </c:pt>
                <c:pt idx="16">
                  <c:v>0.98775324535057196</c:v>
                </c:pt>
                <c:pt idx="17">
                  <c:v>1.022051628494163</c:v>
                </c:pt>
                <c:pt idx="18">
                  <c:v>1.017911280975615</c:v>
                </c:pt>
              </c:numCache>
            </c:numRef>
          </c:val>
          <c:smooth val="0"/>
          <c:extLst>
            <c:ext xmlns:c16="http://schemas.microsoft.com/office/drawing/2014/chart" uri="{C3380CC4-5D6E-409C-BE32-E72D297353CC}">
              <c16:uniqueId val="{00000001-002E-4654-8CD6-2F90EEC62991}"/>
            </c:ext>
          </c:extLst>
        </c:ser>
        <c:ser>
          <c:idx val="1"/>
          <c:order val="1"/>
          <c:tx>
            <c:v>GRR</c:v>
          </c:tx>
          <c:spPr>
            <a:ln w="28575">
              <a:solidFill>
                <a:srgbClr val="9DB9D2"/>
              </a:solidFill>
            </a:ln>
          </c:spPr>
          <c:marker>
            <c:symbol val="none"/>
          </c:marker>
          <c:dLbls>
            <c:dLbl>
              <c:idx val="18"/>
              <c:numFmt formatCode="0.0%" sourceLinked="0"/>
              <c:spPr>
                <a:noFill/>
                <a:ln>
                  <a:noFill/>
                </a:ln>
                <a:effectLs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02E-4654-8CD6-2F90EEC6299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Chart_Data!$A$176:$A$194</c:f>
              <c:strCache>
                <c:ptCount val="19"/>
                <c:pt idx="0">
                  <c:v>Dec-24</c:v>
                </c:pt>
                <c:pt idx="1">
                  <c:v>Jan-25</c:v>
                </c:pt>
                <c:pt idx="2">
                  <c:v>Feb-25</c:v>
                </c:pt>
                <c:pt idx="3">
                  <c:v>Mar-25</c:v>
                </c:pt>
                <c:pt idx="4">
                  <c:v>Apr-25</c:v>
                </c:pt>
                <c:pt idx="5">
                  <c:v>May-25</c:v>
                </c:pt>
                <c:pt idx="6">
                  <c:v>Jun-25</c:v>
                </c:pt>
                <c:pt idx="7">
                  <c:v>Jul-25</c:v>
                </c:pt>
                <c:pt idx="8">
                  <c:v>Aug-25</c:v>
                </c:pt>
                <c:pt idx="9">
                  <c:v>Sep-25</c:v>
                </c:pt>
                <c:pt idx="10">
                  <c:v>Oct-25</c:v>
                </c:pt>
                <c:pt idx="11">
                  <c:v>Nov-25</c:v>
                </c:pt>
                <c:pt idx="12">
                  <c:v>Dec-25</c:v>
                </c:pt>
                <c:pt idx="13">
                  <c:v>Jan-26</c:v>
                </c:pt>
                <c:pt idx="14">
                  <c:v>Feb-26</c:v>
                </c:pt>
                <c:pt idx="15">
                  <c:v>Mar-26</c:v>
                </c:pt>
                <c:pt idx="16">
                  <c:v>Apr-26</c:v>
                </c:pt>
                <c:pt idx="17">
                  <c:v>May-26</c:v>
                </c:pt>
                <c:pt idx="18">
                  <c:v>Jun-26</c:v>
                </c:pt>
              </c:strCache>
            </c:strRef>
          </c:cat>
          <c:val>
            <c:numRef>
              <c:f>Chart_Data!$C$176:$C$194</c:f>
              <c:numCache>
                <c:formatCode>General</c:formatCode>
                <c:ptCount val="19"/>
                <c:pt idx="0">
                  <c:v>0.88969684731742593</c:v>
                </c:pt>
                <c:pt idx="1">
                  <c:v>0.87250443494032437</c:v>
                </c:pt>
                <c:pt idx="2">
                  <c:v>0.87113694383554952</c:v>
                </c:pt>
                <c:pt idx="3">
                  <c:v>0.88072880774768914</c:v>
                </c:pt>
                <c:pt idx="4">
                  <c:v>0.88590606920455062</c:v>
                </c:pt>
                <c:pt idx="5">
                  <c:v>0.88113840928815901</c:v>
                </c:pt>
                <c:pt idx="6">
                  <c:v>0.88573922665764293</c:v>
                </c:pt>
                <c:pt idx="7">
                  <c:v>0.88901256844552945</c:v>
                </c:pt>
                <c:pt idx="8">
                  <c:v>0.89881545651286943</c:v>
                </c:pt>
                <c:pt idx="9">
                  <c:v>0.8963409004516194</c:v>
                </c:pt>
                <c:pt idx="10">
                  <c:v>0.90138248255944775</c:v>
                </c:pt>
                <c:pt idx="11">
                  <c:v>0.88973727544804204</c:v>
                </c:pt>
                <c:pt idx="12">
                  <c:v>0.89980363905946736</c:v>
                </c:pt>
                <c:pt idx="13">
                  <c:v>0.9094451207216272</c:v>
                </c:pt>
                <c:pt idx="14">
                  <c:v>0.91351849751724756</c:v>
                </c:pt>
                <c:pt idx="15">
                  <c:v>0.91096219154782743</c:v>
                </c:pt>
                <c:pt idx="16">
                  <c:v>0.90302314740294143</c:v>
                </c:pt>
                <c:pt idx="17">
                  <c:v>0.91141084715091081</c:v>
                </c:pt>
                <c:pt idx="18">
                  <c:v>0.89557676611119386</c:v>
                </c:pt>
              </c:numCache>
            </c:numRef>
          </c:val>
          <c:smooth val="0"/>
          <c:extLst>
            <c:ext xmlns:c16="http://schemas.microsoft.com/office/drawing/2014/chart" uri="{C3380CC4-5D6E-409C-BE32-E72D297353CC}">
              <c16:uniqueId val="{00000003-002E-4654-8CD6-2F90EEC62991}"/>
            </c:ext>
          </c:extLst>
        </c:ser>
        <c:ser>
          <c:idx val="2"/>
          <c:order val="2"/>
          <c:tx>
            <c:v>Break-even (100%)</c:v>
          </c:tx>
          <c:spPr>
            <a:ln w="12700">
              <a:solidFill>
                <a:srgbClr val="808080"/>
              </a:solidFill>
              <a:prstDash val="dash"/>
            </a:ln>
          </c:spPr>
          <c:marker>
            <c:symbol val="none"/>
          </c:marker>
          <c:cat>
            <c:strRef>
              <c:f>Chart_Data!$A$176:$A$194</c:f>
              <c:strCache>
                <c:ptCount val="19"/>
                <c:pt idx="0">
                  <c:v>Dec-24</c:v>
                </c:pt>
                <c:pt idx="1">
                  <c:v>Jan-25</c:v>
                </c:pt>
                <c:pt idx="2">
                  <c:v>Feb-25</c:v>
                </c:pt>
                <c:pt idx="3">
                  <c:v>Mar-25</c:v>
                </c:pt>
                <c:pt idx="4">
                  <c:v>Apr-25</c:v>
                </c:pt>
                <c:pt idx="5">
                  <c:v>May-25</c:v>
                </c:pt>
                <c:pt idx="6">
                  <c:v>Jun-25</c:v>
                </c:pt>
                <c:pt idx="7">
                  <c:v>Jul-25</c:v>
                </c:pt>
                <c:pt idx="8">
                  <c:v>Aug-25</c:v>
                </c:pt>
                <c:pt idx="9">
                  <c:v>Sep-25</c:v>
                </c:pt>
                <c:pt idx="10">
                  <c:v>Oct-25</c:v>
                </c:pt>
                <c:pt idx="11">
                  <c:v>Nov-25</c:v>
                </c:pt>
                <c:pt idx="12">
                  <c:v>Dec-25</c:v>
                </c:pt>
                <c:pt idx="13">
                  <c:v>Jan-26</c:v>
                </c:pt>
                <c:pt idx="14">
                  <c:v>Feb-26</c:v>
                </c:pt>
                <c:pt idx="15">
                  <c:v>Mar-26</c:v>
                </c:pt>
                <c:pt idx="16">
                  <c:v>Apr-26</c:v>
                </c:pt>
                <c:pt idx="17">
                  <c:v>May-26</c:v>
                </c:pt>
                <c:pt idx="18">
                  <c:v>Jun-26</c:v>
                </c:pt>
              </c:strCache>
            </c:strRef>
          </c:cat>
          <c:val>
            <c:numRef>
              <c:f>Chart_Data!$D$176:$D$194</c:f>
              <c:numCache>
                <c:formatCode>General</c:formatCode>
                <c:ptCount val="1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numCache>
            </c:numRef>
          </c:val>
          <c:smooth val="0"/>
          <c:extLst>
            <c:ext xmlns:c16="http://schemas.microsoft.com/office/drawing/2014/chart" uri="{C3380CC4-5D6E-409C-BE32-E72D297353CC}">
              <c16:uniqueId val="{00000005-002E-4654-8CD6-2F90EEC62991}"/>
            </c:ext>
          </c:extLst>
        </c:ser>
        <c:dLbls>
          <c:showLegendKey val="0"/>
          <c:showVal val="0"/>
          <c:showCatName val="0"/>
          <c:showSerName val="0"/>
          <c:showPercent val="0"/>
          <c:showBubbleSize val="0"/>
        </c:dLbls>
        <c:smooth val="0"/>
        <c:axId val="1826206880"/>
        <c:axId val="1767003184"/>
      </c:lineChart>
      <c:catAx>
        <c:axId val="1826206880"/>
        <c:scaling>
          <c:orientation val="minMax"/>
        </c:scaling>
        <c:delete val="0"/>
        <c:axPos val="b"/>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767003184"/>
        <c:crosses val="autoZero"/>
        <c:auto val="1"/>
        <c:lblAlgn val="ctr"/>
        <c:lblOffset val="100"/>
        <c:tickLblSkip val="3"/>
        <c:tickMarkSkip val="3"/>
        <c:noMultiLvlLbl val="0"/>
      </c:catAx>
      <c:valAx>
        <c:axId val="1767003184"/>
        <c:scaling>
          <c:orientation val="minMax"/>
          <c:max val="1.1000000000000001"/>
          <c:min val="0.8"/>
        </c:scaling>
        <c:delete val="0"/>
        <c:axPos val="l"/>
        <c:majorGridlines>
          <c:spPr>
            <a:ln w="9525">
              <a:solidFill>
                <a:srgbClr val="E8E8E8"/>
              </a:solidFill>
            </a:ln>
          </c:spPr>
        </c:majorGridlines>
        <c:numFmt formatCode="0%"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826206880"/>
        <c:crosses val="autoZero"/>
        <c:crossBetween val="between"/>
        <c:majorUnit val="0.05"/>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v>Bear</c:v>
          </c:tx>
          <c:spPr>
            <a:solidFill>
              <a:srgbClr val="B4553C"/>
            </a:solidFill>
            <a:ln>
              <a:noFill/>
            </a:ln>
            <a:effectLst/>
            <a:extLst>
              <a:ext uri="{91240B29-F687-4F45-9708-019B960494DF}">
                <a14:hiddenLine xmlns:a14="http://schemas.microsoft.com/office/drawing/2010/main">
                  <a:noFill/>
                </a14:hiddenLine>
              </a:ext>
            </a:extLst>
          </c:spPr>
          <c:invertIfNegative val="0"/>
          <c:dLbls>
            <c:numFmt formatCode="\+0.00;\-0.00" sourceLinked="0"/>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Chart_Data!$A$221:$A$225</c:f>
              <c:strCache>
                <c:ptCount val="5"/>
                <c:pt idx="0">
                  <c:v>Win rate</c:v>
                </c:pt>
                <c:pt idx="1">
                  <c:v>Attainment</c:v>
                </c:pt>
                <c:pt idx="2">
                  <c:v>Pipeline creation</c:v>
                </c:pt>
                <c:pt idx="3">
                  <c:v>Retention severity</c:v>
                </c:pt>
                <c:pt idx="4">
                  <c:v>Expansion</c:v>
                </c:pt>
              </c:strCache>
            </c:strRef>
          </c:cat>
          <c:val>
            <c:numRef>
              <c:f>Chart_Data!$B$221:$B$225</c:f>
              <c:numCache>
                <c:formatCode>General</c:formatCode>
                <c:ptCount val="5"/>
                <c:pt idx="0">
                  <c:v>-0.15000000000000002</c:v>
                </c:pt>
                <c:pt idx="1">
                  <c:v>-0.15000000000000002</c:v>
                </c:pt>
                <c:pt idx="2">
                  <c:v>-0.19999999999999996</c:v>
                </c:pt>
                <c:pt idx="3">
                  <c:v>0.19999999999999996</c:v>
                </c:pt>
                <c:pt idx="4">
                  <c:v>-0.15000000000000002</c:v>
                </c:pt>
              </c:numCache>
            </c:numRef>
          </c:val>
          <c:extLst>
            <c:ext xmlns:c16="http://schemas.microsoft.com/office/drawing/2014/chart" uri="{C3380CC4-5D6E-409C-BE32-E72D297353CC}">
              <c16:uniqueId val="{00000001-E4C7-42A5-BC11-0AC8409C87C4}"/>
            </c:ext>
          </c:extLst>
        </c:ser>
        <c:ser>
          <c:idx val="1"/>
          <c:order val="1"/>
          <c:tx>
            <c:v>Bull</c:v>
          </c:tx>
          <c:spPr>
            <a:solidFill>
              <a:srgbClr val="3E7D6B"/>
            </a:solidFill>
            <a:ln>
              <a:noFill/>
            </a:ln>
            <a:effectLst/>
            <a:extLst>
              <a:ext uri="{91240B29-F687-4F45-9708-019B960494DF}">
                <a14:hiddenLine xmlns:a14="http://schemas.microsoft.com/office/drawing/2010/main">
                  <a:noFill/>
                </a14:hiddenLine>
              </a:ext>
            </a:extLst>
          </c:spPr>
          <c:invertIfNegative val="0"/>
          <c:dLbls>
            <c:numFmt formatCode="\+0.00;\-0.00" sourceLinked="0"/>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Chart_Data!$A$221:$A$225</c:f>
              <c:strCache>
                <c:ptCount val="5"/>
                <c:pt idx="0">
                  <c:v>Win rate</c:v>
                </c:pt>
                <c:pt idx="1">
                  <c:v>Attainment</c:v>
                </c:pt>
                <c:pt idx="2">
                  <c:v>Pipeline creation</c:v>
                </c:pt>
                <c:pt idx="3">
                  <c:v>Retention severity</c:v>
                </c:pt>
                <c:pt idx="4">
                  <c:v>Expansion</c:v>
                </c:pt>
              </c:strCache>
            </c:strRef>
          </c:cat>
          <c:val>
            <c:numRef>
              <c:f>Chart_Data!$C$221:$C$225</c:f>
              <c:numCache>
                <c:formatCode>General</c:formatCode>
                <c:ptCount val="5"/>
                <c:pt idx="0">
                  <c:v>0.14999999999999991</c:v>
                </c:pt>
                <c:pt idx="1">
                  <c:v>0.14999999999999991</c:v>
                </c:pt>
                <c:pt idx="2">
                  <c:v>0.25</c:v>
                </c:pt>
                <c:pt idx="3">
                  <c:v>-0.15000000000000002</c:v>
                </c:pt>
                <c:pt idx="4">
                  <c:v>0.19999999999999996</c:v>
                </c:pt>
              </c:numCache>
            </c:numRef>
          </c:val>
          <c:extLst>
            <c:ext xmlns:c16="http://schemas.microsoft.com/office/drawing/2014/chart" uri="{C3380CC4-5D6E-409C-BE32-E72D297353CC}">
              <c16:uniqueId val="{00000002-E4C7-42A5-BC11-0AC8409C87C4}"/>
            </c:ext>
          </c:extLst>
        </c:ser>
        <c:dLbls>
          <c:showLegendKey val="0"/>
          <c:showVal val="0"/>
          <c:showCatName val="0"/>
          <c:showSerName val="0"/>
          <c:showPercent val="0"/>
          <c:showBubbleSize val="0"/>
        </c:dLbls>
        <c:gapWidth val="60"/>
        <c:axId val="1221017775"/>
        <c:axId val="1179899535"/>
      </c:barChart>
      <c:catAx>
        <c:axId val="1221017775"/>
        <c:scaling>
          <c:orientation val="maxMin"/>
        </c:scaling>
        <c:delete val="0"/>
        <c:axPos val="l"/>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179899535"/>
        <c:crosses val="autoZero"/>
        <c:auto val="1"/>
        <c:lblAlgn val="ctr"/>
        <c:lblOffset val="100"/>
        <c:noMultiLvlLbl val="0"/>
      </c:catAx>
      <c:valAx>
        <c:axId val="1179899535"/>
        <c:scaling>
          <c:orientation val="minMax"/>
          <c:max val="0.3"/>
          <c:min val="-0.3"/>
        </c:scaling>
        <c:delete val="1"/>
        <c:axPos val="t"/>
        <c:numFmt formatCode="General" sourceLinked="1"/>
        <c:majorTickMark val="out"/>
        <c:minorTickMark val="none"/>
        <c:tickLblPos val="nextTo"/>
        <c:crossAx val="1221017775"/>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Ending cash</c:v>
          </c:tx>
          <c:spPr>
            <a:ln w="38100">
              <a:solidFill>
                <a:srgbClr val="2E5E8C"/>
              </a:solidFill>
            </a:ln>
          </c:spPr>
          <c:marker>
            <c:symbol val="circle"/>
            <c:size val="5"/>
            <c:spPr>
              <a:noFill/>
              <a:ln w="38100">
                <a:solidFill>
                  <a:srgbClr val="2E5E8C"/>
                </a:solidFill>
              </a:ln>
              <a:extLst>
                <a:ext uri="{909E8E84-426E-40DD-AFC4-6F175D3DCCD1}">
                  <a14:hiddenFill xmlns:a14="http://schemas.microsoft.com/office/drawing/2010/main">
                    <a:solidFill>
                      <a:srgbClr val="4F81BD"/>
                    </a:solidFill>
                  </a14:hiddenFill>
                </a:ext>
              </a:extLst>
            </c:spPr>
          </c:marker>
          <c:dLbls>
            <c:dLbl>
              <c:idx val="0"/>
              <c:numFmt formatCode="&quot;$&quot;#,##0.0,,&quot;M&quot;" sourceLinked="0"/>
              <c:spPr>
                <a:noFill/>
                <a:ln>
                  <a:noFill/>
                </a:ln>
                <a:effectLst/>
              </c:spPr>
              <c:txPr>
                <a:bodyPr wrap="square" lIns="38100" tIns="19050" rIns="38100" bIns="19050" anchor="ctr">
                  <a:spAutoFit/>
                </a:bodyPr>
                <a:lstStyle/>
                <a:p>
                  <a:pPr>
                    <a:defRPr sz="900" b="1">
                      <a:solidFill>
                        <a:srgbClr val="1F3864"/>
                      </a:solidFill>
                      <a:latin typeface="Calibri"/>
                      <a:ea typeface="Calibri"/>
                      <a:cs typeface="Calibri"/>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497-4706-BDEB-11EDE0D7736D}"/>
                </c:ext>
              </c:extLst>
            </c:dLbl>
            <c:dLbl>
              <c:idx val="5"/>
              <c:numFmt formatCode="&quot;$&quot;#,##0.0,,&quot;M&quot;" sourceLinked="0"/>
              <c:spPr>
                <a:noFill/>
                <a:ln>
                  <a:noFill/>
                </a:ln>
                <a:effectLst/>
              </c:spPr>
              <c:txPr>
                <a:bodyPr wrap="square" lIns="38100" tIns="19050" rIns="38100" bIns="19050" anchor="ctr">
                  <a:spAutoFit/>
                </a:bodyPr>
                <a:lstStyle/>
                <a:p>
                  <a:pPr>
                    <a:defRPr sz="900" b="1">
                      <a:solidFill>
                        <a:srgbClr val="1F3864"/>
                      </a:solidFill>
                      <a:latin typeface="Calibri"/>
                      <a:ea typeface="Calibri"/>
                      <a:cs typeface="Calibri"/>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497-4706-BDEB-11EDE0D7736D}"/>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'Cash Flow'!$D$46:$I$46</c:f>
              <c:strCache>
                <c:ptCount val="6"/>
                <c:pt idx="0">
                  <c:v>Jul-26</c:v>
                </c:pt>
                <c:pt idx="1">
                  <c:v>Aug-26</c:v>
                </c:pt>
                <c:pt idx="2">
                  <c:v>Sep-26</c:v>
                </c:pt>
                <c:pt idx="3">
                  <c:v>Oct-26</c:v>
                </c:pt>
                <c:pt idx="4">
                  <c:v>Nov-26</c:v>
                </c:pt>
                <c:pt idx="5">
                  <c:v>Dec-26</c:v>
                </c:pt>
              </c:strCache>
            </c:strRef>
          </c:cat>
          <c:val>
            <c:numRef>
              <c:f>'Cash Flow'!$D$52:$I$52</c:f>
              <c:numCache>
                <c:formatCode>"$"#,##0;\("$"#,##0\);"-"</c:formatCode>
                <c:ptCount val="6"/>
                <c:pt idx="0">
                  <c:v>21332422.416221913</c:v>
                </c:pt>
                <c:pt idx="1">
                  <c:v>20759471.162514821</c:v>
                </c:pt>
                <c:pt idx="2">
                  <c:v>20230148.640372142</c:v>
                </c:pt>
                <c:pt idx="3">
                  <c:v>19733373.458233412</c:v>
                </c:pt>
                <c:pt idx="4">
                  <c:v>19263411.486578882</c:v>
                </c:pt>
                <c:pt idx="5">
                  <c:v>18845495.342542991</c:v>
                </c:pt>
              </c:numCache>
            </c:numRef>
          </c:val>
          <c:smooth val="0"/>
          <c:extLst>
            <c:ext xmlns:c16="http://schemas.microsoft.com/office/drawing/2014/chart" uri="{C3380CC4-5D6E-409C-BE32-E72D297353CC}">
              <c16:uniqueId val="{00000001-2497-4706-BDEB-11EDE0D7736D}"/>
            </c:ext>
          </c:extLst>
        </c:ser>
        <c:dLbls>
          <c:showLegendKey val="0"/>
          <c:showVal val="0"/>
          <c:showCatName val="0"/>
          <c:showSerName val="0"/>
          <c:showPercent val="0"/>
          <c:showBubbleSize val="0"/>
        </c:dLbls>
        <c:marker val="1"/>
        <c:smooth val="0"/>
        <c:axId val="1237626192"/>
        <c:axId val="1228391088"/>
      </c:lineChart>
      <c:catAx>
        <c:axId val="1237626192"/>
        <c:scaling>
          <c:orientation val="minMax"/>
        </c:scaling>
        <c:delete val="0"/>
        <c:axPos val="b"/>
        <c:numFmt formatCode="General" sourceLinked="1"/>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228391088"/>
        <c:crosses val="autoZero"/>
        <c:auto val="1"/>
        <c:lblAlgn val="ctr"/>
        <c:lblOffset val="100"/>
        <c:noMultiLvlLbl val="0"/>
      </c:catAx>
      <c:valAx>
        <c:axId val="1228391088"/>
        <c:scaling>
          <c:orientation val="minMax"/>
          <c:max val="22000000"/>
          <c:min val="18000000"/>
        </c:scaling>
        <c:delete val="0"/>
        <c:axPos val="l"/>
        <c:majorGridlines>
          <c:spPr>
            <a:ln w="9525">
              <a:solidFill>
                <a:srgbClr val="E8E8E8"/>
              </a:solidFill>
            </a:ln>
          </c:spPr>
        </c:majorGridlines>
        <c:numFmt formatCode="&quot;$&quot;#,##0,,&quot;M&quot;"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237626192"/>
        <c:crosses val="autoZero"/>
        <c:crossBetween val="between"/>
        <c:majorUnit val="10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stacked"/>
        <c:varyColors val="0"/>
        <c:ser>
          <c:idx val="0"/>
          <c:order val="0"/>
          <c:tx>
            <c:v>Base</c:v>
          </c:tx>
          <c:spPr>
            <a:noFill/>
            <a:ln>
              <a:noFill/>
            </a:ln>
            <a:effectLst/>
            <a:extLst>
              <a:ext uri="{909E8E84-426E-40DD-AFC4-6F175D3DCCD1}">
                <a14:hiddenFill xmlns:a14="http://schemas.microsoft.com/office/drawing/2010/main">
                  <a:solidFill>
                    <a:srgbClr val="4F81BD"/>
                  </a:solidFill>
                </a14:hiddenFill>
              </a:ext>
              <a:ext uri="{91240B29-F687-4F45-9708-019B960494DF}">
                <a14:hiddenLine xmlns:a14="http://schemas.microsoft.com/office/drawing/2010/main">
                  <a:noFill/>
                </a14:hiddenLine>
              </a:ext>
            </a:extLst>
          </c:spPr>
          <c:invertIfNegative val="0"/>
          <c:cat>
            <c:strRef>
              <c:f>Chart_Data!$A$208:$A$211</c:f>
              <c:strCache>
                <c:ptCount val="4"/>
                <c:pt idx="0">
                  <c:v>Operating loss</c:v>
                </c:pt>
                <c:pt idx="1">
                  <c:v>Billings ahead of revenue</c:v>
                </c:pt>
                <c:pt idx="2">
                  <c:v>Non-cash and timing in operating costs</c:v>
                </c:pt>
                <c:pt idx="3">
                  <c:v>Net cash movement</c:v>
                </c:pt>
              </c:strCache>
            </c:strRef>
          </c:cat>
          <c:val>
            <c:numRef>
              <c:f>Chart_Data!$B$208:$B$211</c:f>
              <c:numCache>
                <c:formatCode>General</c:formatCode>
                <c:ptCount val="4"/>
                <c:pt idx="0">
                  <c:v>0</c:v>
                </c:pt>
                <c:pt idx="1">
                  <c:v>-2788656.7111312398</c:v>
                </c:pt>
                <c:pt idx="2">
                  <c:v>-2954504.657457008</c:v>
                </c:pt>
                <c:pt idx="3">
                  <c:v>0</c:v>
                </c:pt>
              </c:numCache>
            </c:numRef>
          </c:val>
          <c:extLst>
            <c:ext xmlns:c16="http://schemas.microsoft.com/office/drawing/2014/chart" uri="{C3380CC4-5D6E-409C-BE32-E72D297353CC}">
              <c16:uniqueId val="{00000001-7002-4268-A3DB-17154E0BC5C1}"/>
            </c:ext>
          </c:extLst>
        </c:ser>
        <c:ser>
          <c:idx val="1"/>
          <c:order val="1"/>
          <c:tx>
            <c:v>Anchor</c:v>
          </c:tx>
          <c:spPr>
            <a:solidFill>
              <a:srgbClr val="1F3864"/>
            </a:solidFill>
            <a:ln>
              <a:noFill/>
            </a:ln>
            <a:effectLst/>
            <a:extLst>
              <a:ext uri="{91240B29-F687-4F45-9708-019B960494DF}">
                <a14:hiddenLine xmlns:a14="http://schemas.microsoft.com/office/drawing/2010/main">
                  <a:noFill/>
                </a14:hiddenLine>
              </a:ext>
            </a:extLst>
          </c:spPr>
          <c:invertIfNegative val="0"/>
          <c:dLbls>
            <c:numFmt formatCode="&quot;$&quot;#,##0,&quot;K&quot;" sourceLinked="0"/>
            <c:spPr>
              <a:noFill/>
              <a:ln>
                <a:noFill/>
              </a:ln>
              <a:effectLst/>
            </c:spPr>
            <c:txPr>
              <a:bodyPr wrap="square" lIns="38100" tIns="19050" rIns="38100" bIns="19050" anchor="ctr">
                <a:spAutoFit/>
              </a:bodyPr>
              <a:lstStyle/>
              <a:p>
                <a:pPr>
                  <a:defRPr sz="85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Chart_Data!$A$208:$A$211</c:f>
              <c:strCache>
                <c:ptCount val="4"/>
                <c:pt idx="0">
                  <c:v>Operating loss</c:v>
                </c:pt>
                <c:pt idx="1">
                  <c:v>Billings ahead of revenue</c:v>
                </c:pt>
                <c:pt idx="2">
                  <c:v>Non-cash and timing in operating costs</c:v>
                </c:pt>
                <c:pt idx="3">
                  <c:v>Net cash movement</c:v>
                </c:pt>
              </c:strCache>
            </c:strRef>
          </c:cat>
          <c:val>
            <c:numRef>
              <c:f>Chart_Data!$C$208:$C$211</c:f>
              <c:numCache>
                <c:formatCode>General</c:formatCode>
                <c:ptCount val="4"/>
                <c:pt idx="0">
                  <c:v>-2788656.7111312398</c:v>
                </c:pt>
                <c:pt idx="3">
                  <c:v>-2954504.657457008</c:v>
                </c:pt>
              </c:numCache>
            </c:numRef>
          </c:val>
          <c:extLst>
            <c:ext xmlns:c16="http://schemas.microsoft.com/office/drawing/2014/chart" uri="{C3380CC4-5D6E-409C-BE32-E72D297353CC}">
              <c16:uniqueId val="{00000002-7002-4268-A3DB-17154E0BC5C1}"/>
            </c:ext>
          </c:extLst>
        </c:ser>
        <c:ser>
          <c:idx val="2"/>
          <c:order val="2"/>
          <c:tx>
            <c:v>Increase</c:v>
          </c:tx>
          <c:spPr>
            <a:solidFill>
              <a:srgbClr val="1E6B3A"/>
            </a:solidFill>
            <a:ln>
              <a:noFill/>
            </a:ln>
            <a:effectLst/>
            <a:extLst>
              <a:ext uri="{91240B29-F687-4F45-9708-019B960494DF}">
                <a14:hiddenLine xmlns:a14="http://schemas.microsoft.com/office/drawing/2010/main">
                  <a:noFill/>
                </a14:hiddenLine>
              </a:ext>
            </a:extLst>
          </c:spPr>
          <c:invertIfNegative val="0"/>
          <c:dLbls>
            <c:dLbl>
              <c:idx val="2"/>
              <c:layout>
                <c:manualLayout>
                  <c:x val="0"/>
                  <c:y val="0.10431083614548181"/>
                </c:manualLayout>
              </c:layout>
              <c:numFmt formatCode="\+&quot;$&quot;#,##0,&quot;K&quot;;\+&quot;$&quot;#,##0,&quot;K&quot;;" sourceLinked="0"/>
              <c:spPr>
                <a:noFill/>
                <a:ln>
                  <a:noFill/>
                </a:ln>
                <a:effectLst/>
              </c:spPr>
              <c:txPr>
                <a:bodyPr wrap="square" lIns="38100" tIns="19050" rIns="38100" bIns="19050" anchor="ctr">
                  <a:spAutoFit/>
                </a:bodyPr>
                <a:lstStyle/>
                <a:p>
                  <a:pPr>
                    <a:defRPr sz="850" b="1">
                      <a:solidFill>
                        <a:srgbClr val="262626"/>
                      </a:solidFill>
                      <a:latin typeface="Calibri"/>
                      <a:ea typeface="Calibri"/>
                      <a:cs typeface="Calibri"/>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400-4DDF-9FA4-A25B6F2C76D1}"/>
                </c:ext>
              </c:extLst>
            </c:dLbl>
            <c:numFmt formatCode="\+&quot;$&quot;#,##0,&quot;K&quot;;\+&quot;$&quot;#,##0,&quot;K&quot;;" sourceLinked="0"/>
            <c:spPr>
              <a:noFill/>
              <a:ln>
                <a:noFill/>
              </a:ln>
              <a:effectLst/>
            </c:spPr>
            <c:txPr>
              <a:bodyPr wrap="square" lIns="38100" tIns="19050" rIns="38100" bIns="19050" anchor="ctr">
                <a:spAutoFit/>
              </a:bodyPr>
              <a:lstStyle/>
              <a:p>
                <a:pPr>
                  <a:defRPr sz="85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Chart_Data!$A$208:$A$211</c:f>
              <c:strCache>
                <c:ptCount val="4"/>
                <c:pt idx="0">
                  <c:v>Operating loss</c:v>
                </c:pt>
                <c:pt idx="1">
                  <c:v>Billings ahead of revenue</c:v>
                </c:pt>
                <c:pt idx="2">
                  <c:v>Non-cash and timing in operating costs</c:v>
                </c:pt>
                <c:pt idx="3">
                  <c:v>Net cash movement</c:v>
                </c:pt>
              </c:strCache>
            </c:strRef>
          </c:cat>
          <c:val>
            <c:numRef>
              <c:f>Chart_Data!$D$208:$D$211</c:f>
              <c:numCache>
                <c:formatCode>General</c:formatCode>
                <c:ptCount val="4"/>
                <c:pt idx="1">
                  <c:v>0</c:v>
                </c:pt>
                <c:pt idx="2">
                  <c:v>-126679.67999999737</c:v>
                </c:pt>
              </c:numCache>
            </c:numRef>
          </c:val>
          <c:extLst>
            <c:ext xmlns:c16="http://schemas.microsoft.com/office/drawing/2014/chart" uri="{C3380CC4-5D6E-409C-BE32-E72D297353CC}">
              <c16:uniqueId val="{00000006-7002-4268-A3DB-17154E0BC5C1}"/>
            </c:ext>
          </c:extLst>
        </c:ser>
        <c:ser>
          <c:idx val="3"/>
          <c:order val="3"/>
          <c:tx>
            <c:v>Decrease</c:v>
          </c:tx>
          <c:spPr>
            <a:solidFill>
              <a:srgbClr val="9C1F2E"/>
            </a:solidFill>
            <a:ln>
              <a:noFill/>
            </a:ln>
            <a:effectLst/>
            <a:extLst>
              <a:ext uri="{91240B29-F687-4F45-9708-019B960494DF}">
                <a14:hiddenLine xmlns:a14="http://schemas.microsoft.com/office/drawing/2010/main">
                  <a:noFill/>
                </a14:hiddenLine>
              </a:ext>
            </a:extLst>
          </c:spPr>
          <c:invertIfNegative val="0"/>
          <c:dLbls>
            <c:numFmt formatCode="\+&quot;$&quot;#,##0,&quot;K&quot;;\-&quot;$&quot;#,##0,&quot;K&quot;;" sourceLinked="0"/>
            <c:spPr>
              <a:noFill/>
              <a:ln>
                <a:noFill/>
              </a:ln>
              <a:effectLst/>
            </c:spPr>
            <c:txPr>
              <a:bodyPr wrap="square" lIns="38100" tIns="19050" rIns="38100" bIns="19050" anchor="ctr">
                <a:spAutoFit/>
              </a:bodyPr>
              <a:lstStyle/>
              <a:p>
                <a:pPr>
                  <a:defRPr sz="85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Chart_Data!$A$208:$A$211</c:f>
              <c:strCache>
                <c:ptCount val="4"/>
                <c:pt idx="0">
                  <c:v>Operating loss</c:v>
                </c:pt>
                <c:pt idx="1">
                  <c:v>Billings ahead of revenue</c:v>
                </c:pt>
                <c:pt idx="2">
                  <c:v>Non-cash and timing in operating costs</c:v>
                </c:pt>
                <c:pt idx="3">
                  <c:v>Net cash movement</c:v>
                </c:pt>
              </c:strCache>
            </c:strRef>
          </c:cat>
          <c:val>
            <c:numRef>
              <c:f>Chart_Data!$E$208:$E$211</c:f>
              <c:numCache>
                <c:formatCode>General</c:formatCode>
                <c:ptCount val="4"/>
                <c:pt idx="1">
                  <c:v>-292527.62632576562</c:v>
                </c:pt>
                <c:pt idx="2">
                  <c:v>0</c:v>
                </c:pt>
              </c:numCache>
            </c:numRef>
          </c:val>
          <c:extLst>
            <c:ext xmlns:c16="http://schemas.microsoft.com/office/drawing/2014/chart" uri="{C3380CC4-5D6E-409C-BE32-E72D297353CC}">
              <c16:uniqueId val="{0000000B-7002-4268-A3DB-17154E0BC5C1}"/>
            </c:ext>
          </c:extLst>
        </c:ser>
        <c:dLbls>
          <c:showLegendKey val="0"/>
          <c:showVal val="0"/>
          <c:showCatName val="0"/>
          <c:showSerName val="0"/>
          <c:showPercent val="0"/>
          <c:showBubbleSize val="0"/>
        </c:dLbls>
        <c:gapWidth val="45"/>
        <c:overlap val="100"/>
        <c:axId val="1856704384"/>
        <c:axId val="1767031984"/>
      </c:barChart>
      <c:catAx>
        <c:axId val="1856704384"/>
        <c:scaling>
          <c:orientation val="minMax"/>
        </c:scaling>
        <c:delete val="0"/>
        <c:axPos val="b"/>
        <c:numFmt formatCode="General" sourceLinked="1"/>
        <c:majorTickMark val="out"/>
        <c:minorTickMark val="none"/>
        <c:tickLblPos val="low"/>
        <c:spPr>
          <a:ln w="9525">
            <a:solidFill>
              <a:srgbClr val="BFBFBF"/>
            </a:solidFill>
          </a:ln>
        </c:spPr>
        <c:txPr>
          <a:bodyPr rot="0" vert="horz"/>
          <a:lstStyle/>
          <a:p>
            <a:pPr>
              <a:defRPr sz="950">
                <a:solidFill>
                  <a:srgbClr val="595959"/>
                </a:solidFill>
                <a:latin typeface="Calibri"/>
                <a:ea typeface="Calibri"/>
                <a:cs typeface="Calibri"/>
              </a:defRPr>
            </a:pPr>
            <a:endParaRPr lang="en-US"/>
          </a:p>
        </c:txPr>
        <c:crossAx val="1767031984"/>
        <c:crosses val="autoZero"/>
        <c:auto val="1"/>
        <c:lblAlgn val="ctr"/>
        <c:lblOffset val="100"/>
        <c:noMultiLvlLbl val="0"/>
      </c:catAx>
      <c:valAx>
        <c:axId val="1767031984"/>
        <c:scaling>
          <c:orientation val="minMax"/>
          <c:max val="0"/>
          <c:min val="-3500000"/>
        </c:scaling>
        <c:delete val="0"/>
        <c:axPos val="l"/>
        <c:majorGridlines>
          <c:spPr>
            <a:ln w="9525">
              <a:solidFill>
                <a:srgbClr val="E8E8E8"/>
              </a:solidFill>
            </a:ln>
          </c:spPr>
        </c:majorGridlines>
        <c:numFmt formatCode="&quot;$&quot;#,##0,&quot;K&quot;"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856704384"/>
        <c:crosses val="autoZero"/>
        <c:crossBetween val="between"/>
        <c:majorUnit val="5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1"/>
        <c:ser>
          <c:idx val="0"/>
          <c:order val="0"/>
          <c:tx>
            <c:strRef>
              <c:f>Chart_Data!$B$1</c:f>
              <c:strCache>
                <c:ptCount val="1"/>
                <c:pt idx="0">
                  <c:v>Base</c:v>
                </c:pt>
              </c:strCache>
            </c:strRef>
          </c:tx>
          <c:spPr>
            <a:noFill/>
            <a:ln>
              <a:noFill/>
              <a:prstDash val="solid"/>
            </a:ln>
          </c:spPr>
          <c:invertIfNegative val="0"/>
          <c:cat>
            <c:strRef>
              <c:f>Chart_Data!$A$2:$A$9</c:f>
              <c:strCache>
                <c:ptCount val="7"/>
                <c:pt idx="0">
                  <c:v>Budget</c:v>
                </c:pt>
                <c:pt idx="1">
                  <c:v>New Logo</c:v>
                </c:pt>
                <c:pt idx="2">
                  <c:v>Expansion</c:v>
                </c:pt>
                <c:pt idx="3">
                  <c:v>Reactivation</c:v>
                </c:pt>
                <c:pt idx="4">
                  <c:v>Contraction</c:v>
                </c:pt>
                <c:pt idx="5">
                  <c:v>Churn</c:v>
                </c:pt>
                <c:pt idx="6">
                  <c:v>Base</c:v>
                </c:pt>
              </c:strCache>
            </c:strRef>
          </c:cat>
          <c:val>
            <c:numRef>
              <c:f>Chart_Data!$B$2:$B$9</c:f>
              <c:numCache>
                <c:formatCode>\$#,##0.0,,"M";\(\$#,##0.0,,"M"\);"-"</c:formatCode>
                <c:ptCount val="8"/>
                <c:pt idx="0">
                  <c:v>0</c:v>
                </c:pt>
                <c:pt idx="1">
                  <c:v>34795629.353564449</c:v>
                </c:pt>
                <c:pt idx="2">
                  <c:v>34795629.353564449</c:v>
                </c:pt>
                <c:pt idx="3">
                  <c:v>36244781.586515903</c:v>
                </c:pt>
                <c:pt idx="4">
                  <c:v>35025386.272116713</c:v>
                </c:pt>
                <c:pt idx="5">
                  <c:v>34816416.564797662</c:v>
                </c:pt>
                <c:pt idx="6">
                  <c:v>0</c:v>
                </c:pt>
              </c:numCache>
            </c:numRef>
          </c:val>
          <c:extLst>
            <c:ext xmlns:c16="http://schemas.microsoft.com/office/drawing/2014/chart" uri="{C3380CC4-5D6E-409C-BE32-E72D297353CC}">
              <c16:uniqueId val="{00000000-015A-48F7-A6A1-5528E6A45393}"/>
            </c:ext>
          </c:extLst>
        </c:ser>
        <c:ser>
          <c:idx val="1"/>
          <c:order val="1"/>
          <c:tx>
            <c:strRef>
              <c:f>Chart_Data!$C$1</c:f>
              <c:strCache>
                <c:ptCount val="1"/>
                <c:pt idx="0">
                  <c:v>Anchor</c:v>
                </c:pt>
              </c:strCache>
            </c:strRef>
          </c:tx>
          <c:spPr>
            <a:solidFill>
              <a:srgbClr val="1F3864"/>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Chart_Data!$A$2:$A$9</c:f>
              <c:strCache>
                <c:ptCount val="7"/>
                <c:pt idx="0">
                  <c:v>Budget</c:v>
                </c:pt>
                <c:pt idx="1">
                  <c:v>New Logo</c:v>
                </c:pt>
                <c:pt idx="2">
                  <c:v>Expansion</c:v>
                </c:pt>
                <c:pt idx="3">
                  <c:v>Reactivation</c:v>
                </c:pt>
                <c:pt idx="4">
                  <c:v>Contraction</c:v>
                </c:pt>
                <c:pt idx="5">
                  <c:v>Churn</c:v>
                </c:pt>
                <c:pt idx="6">
                  <c:v>Base</c:v>
                </c:pt>
              </c:strCache>
            </c:strRef>
          </c:cat>
          <c:val>
            <c:numRef>
              <c:f>Chart_Data!$C$2:$C$9</c:f>
              <c:numCache>
                <c:formatCode>\$#,##0.0,,"M";\(\$#,##0.0,,"M"\);"-"</c:formatCode>
                <c:ptCount val="8"/>
                <c:pt idx="0">
                  <c:v>37589315.840000004</c:v>
                </c:pt>
                <c:pt idx="6">
                  <c:v>34816416.564797662</c:v>
                </c:pt>
              </c:numCache>
            </c:numRef>
          </c:val>
          <c:extLst>
            <c:ext xmlns:c16="http://schemas.microsoft.com/office/drawing/2014/chart" uri="{C3380CC4-5D6E-409C-BE32-E72D297353CC}">
              <c16:uniqueId val="{00000001-015A-48F7-A6A1-5528E6A45393}"/>
            </c:ext>
          </c:extLst>
        </c:ser>
        <c:ser>
          <c:idx val="2"/>
          <c:order val="2"/>
          <c:tx>
            <c:strRef>
              <c:f>Chart_Data!$D$1</c:f>
              <c:strCache>
                <c:ptCount val="1"/>
                <c:pt idx="0">
                  <c:v>Increase</c:v>
                </c:pt>
              </c:strCache>
            </c:strRef>
          </c:tx>
          <c:spPr>
            <a:solidFill>
              <a:srgbClr val="1E6B3A"/>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Chart_Data!$A$2:$A$9</c:f>
              <c:strCache>
                <c:ptCount val="7"/>
                <c:pt idx="0">
                  <c:v>Budget</c:v>
                </c:pt>
                <c:pt idx="1">
                  <c:v>New Logo</c:v>
                </c:pt>
                <c:pt idx="2">
                  <c:v>Expansion</c:v>
                </c:pt>
                <c:pt idx="3">
                  <c:v>Reactivation</c:v>
                </c:pt>
                <c:pt idx="4">
                  <c:v>Contraction</c:v>
                </c:pt>
                <c:pt idx="5">
                  <c:v>Churn</c:v>
                </c:pt>
                <c:pt idx="6">
                  <c:v>Base</c:v>
                </c:pt>
              </c:strCache>
            </c:strRef>
          </c:cat>
          <c:val>
            <c:numRef>
              <c:f>Chart_Data!$D$2:$D$9</c:f>
              <c:numCache>
                <c:formatCode>\$#,##0.0,,"M";\(\$#,##0.0,,"M"\);"-"</c:formatCode>
                <c:ptCount val="8"/>
                <c:pt idx="2">
                  <c:v>1538102.552951446</c:v>
                </c:pt>
              </c:numCache>
            </c:numRef>
          </c:val>
          <c:extLst>
            <c:ext xmlns:c16="http://schemas.microsoft.com/office/drawing/2014/chart" uri="{C3380CC4-5D6E-409C-BE32-E72D297353CC}">
              <c16:uniqueId val="{00000002-015A-48F7-A6A1-5528E6A45393}"/>
            </c:ext>
          </c:extLst>
        </c:ser>
        <c:ser>
          <c:idx val="3"/>
          <c:order val="3"/>
          <c:tx>
            <c:strRef>
              <c:f>Chart_Data!$E$1</c:f>
              <c:strCache>
                <c:ptCount val="1"/>
                <c:pt idx="0">
                  <c:v>Decrease</c:v>
                </c:pt>
              </c:strCache>
            </c:strRef>
          </c:tx>
          <c:spPr>
            <a:solidFill>
              <a:srgbClr val="9C1F2E"/>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Chart_Data!$A$2:$A$9</c:f>
              <c:strCache>
                <c:ptCount val="7"/>
                <c:pt idx="0">
                  <c:v>Budget</c:v>
                </c:pt>
                <c:pt idx="1">
                  <c:v>New Logo</c:v>
                </c:pt>
                <c:pt idx="2">
                  <c:v>Expansion</c:v>
                </c:pt>
                <c:pt idx="3">
                  <c:v>Reactivation</c:v>
                </c:pt>
                <c:pt idx="4">
                  <c:v>Contraction</c:v>
                </c:pt>
                <c:pt idx="5">
                  <c:v>Churn</c:v>
                </c:pt>
                <c:pt idx="6">
                  <c:v>Base</c:v>
                </c:pt>
              </c:strCache>
            </c:strRef>
          </c:cat>
          <c:val>
            <c:numRef>
              <c:f>Chart_Data!$E$2:$E$9</c:f>
              <c:numCache>
                <c:formatCode>\$#,##0.0,,"M";\(\$#,##0.0,,"M"\);"-"</c:formatCode>
                <c:ptCount val="8"/>
                <c:pt idx="1">
                  <c:v>2793686.4864355521</c:v>
                </c:pt>
                <c:pt idx="3">
                  <c:v>88950.320000000036</c:v>
                </c:pt>
                <c:pt idx="4">
                  <c:v>1219395.3143991921</c:v>
                </c:pt>
                <c:pt idx="5">
                  <c:v>208969.70731904401</c:v>
                </c:pt>
              </c:numCache>
            </c:numRef>
          </c:val>
          <c:extLst>
            <c:ext xmlns:c16="http://schemas.microsoft.com/office/drawing/2014/chart" uri="{C3380CC4-5D6E-409C-BE32-E72D297353CC}">
              <c16:uniqueId val="{00000003-015A-48F7-A6A1-5528E6A45393}"/>
            </c:ext>
          </c:extLst>
        </c:ser>
        <c:dLbls>
          <c:showLegendKey val="0"/>
          <c:showVal val="0"/>
          <c:showCatName val="0"/>
          <c:showSerName val="0"/>
          <c:showPercent val="0"/>
          <c:showBubbleSize val="0"/>
        </c:dLbls>
        <c:gapWidth val="35"/>
        <c:overlap val="100"/>
        <c:axId val="10"/>
        <c:axId val="100"/>
      </c:barChart>
      <c:catAx>
        <c:axId val="10"/>
        <c:scaling>
          <c:orientation val="minMax"/>
        </c:scaling>
        <c:delete val="0"/>
        <c:axPos val="b"/>
        <c:numFmt formatCode="General" sourceLinked="1"/>
        <c:majorTickMark val="out"/>
        <c:minorTickMark val="none"/>
        <c:tickLblPos val="low"/>
        <c:spPr>
          <a:ln w="9525">
            <a:solidFill>
              <a:srgbClr val="BFBFBF"/>
            </a:solidFill>
            <a:prstDash val="solid"/>
          </a:ln>
        </c:spPr>
        <c:txPr>
          <a:bodyPr rot="-2700000" vert="horz"/>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quot;$&quot;#,##0,,&quot;M&quot;"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1"/>
        <c:ser>
          <c:idx val="0"/>
          <c:order val="0"/>
          <c:tx>
            <c:strRef>
              <c:f>Chart_Data!$B$12</c:f>
              <c:strCache>
                <c:ptCount val="1"/>
                <c:pt idx="0">
                  <c:v>Base</c:v>
                </c:pt>
              </c:strCache>
            </c:strRef>
          </c:tx>
          <c:spPr>
            <a:noFill/>
            <a:ln>
              <a:noFill/>
              <a:prstDash val="solid"/>
            </a:ln>
          </c:spPr>
          <c:invertIfNegative val="0"/>
          <c:cat>
            <c:strRef>
              <c:f>Chart_Data!$A$13:$A$19</c:f>
              <c:strCache>
                <c:ptCount val="7"/>
                <c:pt idx="0">
                  <c:v>Budget</c:v>
                </c:pt>
                <c:pt idx="1">
                  <c:v>Revenue</c:v>
                </c:pt>
                <c:pt idx="2">
                  <c:v>Subs COGS payroll</c:v>
                </c:pt>
                <c:pt idx="3">
                  <c:v>Subs COGS non-payroll</c:v>
                </c:pt>
                <c:pt idx="4">
                  <c:v>Svcs COGS payroll</c:v>
                </c:pt>
                <c:pt idx="5">
                  <c:v>Svcs COGS non-payroll</c:v>
                </c:pt>
                <c:pt idx="6">
                  <c:v>Base</c:v>
                </c:pt>
              </c:strCache>
            </c:strRef>
          </c:cat>
          <c:val>
            <c:numRef>
              <c:f>Chart_Data!$B$13:$B$19</c:f>
              <c:numCache>
                <c:formatCode>\$#,##0.0,,"M";\(\$#,##0.0,,"M"\);"-"</c:formatCode>
                <c:ptCount val="7"/>
                <c:pt idx="0">
                  <c:v>0</c:v>
                </c:pt>
                <c:pt idx="1">
                  <c:v>24069785.941651382</c:v>
                </c:pt>
                <c:pt idx="2">
                  <c:v>24069785.941651382</c:v>
                </c:pt>
                <c:pt idx="3">
                  <c:v>25385270.08185149</c:v>
                </c:pt>
                <c:pt idx="4">
                  <c:v>25686479.886115659</c:v>
                </c:pt>
                <c:pt idx="5">
                  <c:v>25686479.886115659</c:v>
                </c:pt>
                <c:pt idx="6">
                  <c:v>0</c:v>
                </c:pt>
              </c:numCache>
            </c:numRef>
          </c:val>
          <c:extLst>
            <c:ext xmlns:c16="http://schemas.microsoft.com/office/drawing/2014/chart" uri="{C3380CC4-5D6E-409C-BE32-E72D297353CC}">
              <c16:uniqueId val="{00000000-9A09-4CC7-8298-35DC79190A19}"/>
            </c:ext>
          </c:extLst>
        </c:ser>
        <c:ser>
          <c:idx val="1"/>
          <c:order val="1"/>
          <c:tx>
            <c:strRef>
              <c:f>Chart_Data!$C$12</c:f>
              <c:strCache>
                <c:ptCount val="1"/>
                <c:pt idx="0">
                  <c:v>Anchor</c:v>
                </c:pt>
              </c:strCache>
            </c:strRef>
          </c:tx>
          <c:spPr>
            <a:solidFill>
              <a:srgbClr val="1F3864"/>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Chart_Data!$A$13:$A$19</c:f>
              <c:strCache>
                <c:ptCount val="7"/>
                <c:pt idx="0">
                  <c:v>Budget</c:v>
                </c:pt>
                <c:pt idx="1">
                  <c:v>Revenue</c:v>
                </c:pt>
                <c:pt idx="2">
                  <c:v>Subs COGS payroll</c:v>
                </c:pt>
                <c:pt idx="3">
                  <c:v>Subs COGS non-payroll</c:v>
                </c:pt>
                <c:pt idx="4">
                  <c:v>Svcs COGS payroll</c:v>
                </c:pt>
                <c:pt idx="5">
                  <c:v>Svcs COGS non-payroll</c:v>
                </c:pt>
                <c:pt idx="6">
                  <c:v>Base</c:v>
                </c:pt>
              </c:strCache>
            </c:strRef>
          </c:cat>
          <c:val>
            <c:numRef>
              <c:f>Chart_Data!$C$13:$C$19</c:f>
              <c:numCache>
                <c:formatCode>\$#,##0.0,,"M";\(\$#,##0.0,,"M"\);"-"</c:formatCode>
                <c:ptCount val="7"/>
                <c:pt idx="0">
                  <c:v>24911442.949999999</c:v>
                </c:pt>
                <c:pt idx="6">
                  <c:v>25694771.976115659</c:v>
                </c:pt>
              </c:numCache>
            </c:numRef>
          </c:val>
          <c:extLst>
            <c:ext xmlns:c16="http://schemas.microsoft.com/office/drawing/2014/chart" uri="{C3380CC4-5D6E-409C-BE32-E72D297353CC}">
              <c16:uniqueId val="{00000001-9A09-4CC7-8298-35DC79190A19}"/>
            </c:ext>
          </c:extLst>
        </c:ser>
        <c:ser>
          <c:idx val="2"/>
          <c:order val="2"/>
          <c:tx>
            <c:strRef>
              <c:f>Chart_Data!$D$12</c:f>
              <c:strCache>
                <c:ptCount val="1"/>
                <c:pt idx="0">
                  <c:v>Increase</c:v>
                </c:pt>
              </c:strCache>
            </c:strRef>
          </c:tx>
          <c:spPr>
            <a:solidFill>
              <a:srgbClr val="1E6B3A"/>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Chart_Data!$A$13:$A$19</c:f>
              <c:strCache>
                <c:ptCount val="7"/>
                <c:pt idx="0">
                  <c:v>Budget</c:v>
                </c:pt>
                <c:pt idx="1">
                  <c:v>Revenue</c:v>
                </c:pt>
                <c:pt idx="2">
                  <c:v>Subs COGS payroll</c:v>
                </c:pt>
                <c:pt idx="3">
                  <c:v>Subs COGS non-payroll</c:v>
                </c:pt>
                <c:pt idx="4">
                  <c:v>Svcs COGS payroll</c:v>
                </c:pt>
                <c:pt idx="5">
                  <c:v>Svcs COGS non-payroll</c:v>
                </c:pt>
                <c:pt idx="6">
                  <c:v>Base</c:v>
                </c:pt>
              </c:strCache>
            </c:strRef>
          </c:cat>
          <c:val>
            <c:numRef>
              <c:f>Chart_Data!$D$13:$D$19</c:f>
              <c:numCache>
                <c:formatCode>\$#,##0.0,,"M";\(\$#,##0.0,,"M"\);"-"</c:formatCode>
                <c:ptCount val="7"/>
                <c:pt idx="2">
                  <c:v>1315484.1402001069</c:v>
                </c:pt>
                <c:pt idx="3">
                  <c:v>345292.49000000022</c:v>
                </c:pt>
                <c:pt idx="5">
                  <c:v>8292.0900000000111</c:v>
                </c:pt>
              </c:numCache>
            </c:numRef>
          </c:val>
          <c:extLst>
            <c:ext xmlns:c16="http://schemas.microsoft.com/office/drawing/2014/chart" uri="{C3380CC4-5D6E-409C-BE32-E72D297353CC}">
              <c16:uniqueId val="{00000002-9A09-4CC7-8298-35DC79190A19}"/>
            </c:ext>
          </c:extLst>
        </c:ser>
        <c:ser>
          <c:idx val="3"/>
          <c:order val="3"/>
          <c:tx>
            <c:strRef>
              <c:f>Chart_Data!$E$12</c:f>
              <c:strCache>
                <c:ptCount val="1"/>
                <c:pt idx="0">
                  <c:v>Decrease</c:v>
                </c:pt>
              </c:strCache>
            </c:strRef>
          </c:tx>
          <c:spPr>
            <a:solidFill>
              <a:srgbClr val="9C1F2E"/>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Chart_Data!$A$13:$A$19</c:f>
              <c:strCache>
                <c:ptCount val="7"/>
                <c:pt idx="0">
                  <c:v>Budget</c:v>
                </c:pt>
                <c:pt idx="1">
                  <c:v>Revenue</c:v>
                </c:pt>
                <c:pt idx="2">
                  <c:v>Subs COGS payroll</c:v>
                </c:pt>
                <c:pt idx="3">
                  <c:v>Subs COGS non-payroll</c:v>
                </c:pt>
                <c:pt idx="4">
                  <c:v>Svcs COGS payroll</c:v>
                </c:pt>
                <c:pt idx="5">
                  <c:v>Svcs COGS non-payroll</c:v>
                </c:pt>
                <c:pt idx="6">
                  <c:v>Base</c:v>
                </c:pt>
              </c:strCache>
            </c:strRef>
          </c:cat>
          <c:val>
            <c:numRef>
              <c:f>Chart_Data!$E$13:$E$19</c:f>
              <c:numCache>
                <c:formatCode>\$#,##0.0,,"M";\(\$#,##0.0,,"M"\);"-"</c:formatCode>
                <c:ptCount val="7"/>
                <c:pt idx="1">
                  <c:v>841657.00834862143</c:v>
                </c:pt>
                <c:pt idx="4">
                  <c:v>44082.68573582219</c:v>
                </c:pt>
              </c:numCache>
            </c:numRef>
          </c:val>
          <c:extLst>
            <c:ext xmlns:c16="http://schemas.microsoft.com/office/drawing/2014/chart" uri="{C3380CC4-5D6E-409C-BE32-E72D297353CC}">
              <c16:uniqueId val="{00000003-9A09-4CC7-8298-35DC79190A19}"/>
            </c:ext>
          </c:extLst>
        </c:ser>
        <c:dLbls>
          <c:showLegendKey val="0"/>
          <c:showVal val="0"/>
          <c:showCatName val="0"/>
          <c:showSerName val="0"/>
          <c:showPercent val="0"/>
          <c:showBubbleSize val="0"/>
        </c:dLbls>
        <c:gapWidth val="35"/>
        <c:overlap val="100"/>
        <c:axId val="10"/>
        <c:axId val="100"/>
      </c:barChart>
      <c:catAx>
        <c:axId val="10"/>
        <c:scaling>
          <c:orientation val="minMax"/>
        </c:scaling>
        <c:delete val="0"/>
        <c:axPos val="b"/>
        <c:numFmt formatCode="General" sourceLinked="1"/>
        <c:majorTickMark val="out"/>
        <c:minorTickMark val="none"/>
        <c:tickLblPos val="low"/>
        <c:spPr>
          <a:ln w="9525">
            <a:solidFill>
              <a:srgbClr val="BFBFBF"/>
            </a:solidFill>
            <a:prstDash val="solid"/>
          </a:ln>
        </c:spPr>
        <c:txPr>
          <a:bodyPr rot="-2700000" vert="horz"/>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quot;$&quot;#,##0,,&quot;M&quot;"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1"/>
        <c:ser>
          <c:idx val="0"/>
          <c:order val="0"/>
          <c:tx>
            <c:strRef>
              <c:f>Chart_Data!$B$22</c:f>
              <c:strCache>
                <c:ptCount val="1"/>
                <c:pt idx="0">
                  <c:v>Base</c:v>
                </c:pt>
              </c:strCache>
            </c:strRef>
          </c:tx>
          <c:spPr>
            <a:noFill/>
            <a:ln>
              <a:noFill/>
              <a:prstDash val="solid"/>
            </a:ln>
          </c:spPr>
          <c:invertIfNegative val="0"/>
          <c:cat>
            <c:strRef>
              <c:f>Chart_Data!$A$23:$A$27</c:f>
              <c:strCache>
                <c:ptCount val="5"/>
                <c:pt idx="0">
                  <c:v>Budget</c:v>
                </c:pt>
                <c:pt idx="1">
                  <c:v>Payroll</c:v>
                </c:pt>
                <c:pt idx="2">
                  <c:v>Commissions</c:v>
                </c:pt>
                <c:pt idx="3">
                  <c:v>Non-payroll</c:v>
                </c:pt>
                <c:pt idx="4">
                  <c:v>Base</c:v>
                </c:pt>
              </c:strCache>
            </c:strRef>
          </c:cat>
          <c:val>
            <c:numRef>
              <c:f>Chart_Data!$B$23:$B$27</c:f>
              <c:numCache>
                <c:formatCode>\$#,##0.0,,"M";\(\$#,##0.0,,"M"\);"-"</c:formatCode>
                <c:ptCount val="5"/>
                <c:pt idx="0">
                  <c:v>0</c:v>
                </c:pt>
                <c:pt idx="1">
                  <c:v>30536909.829999998</c:v>
                </c:pt>
                <c:pt idx="2">
                  <c:v>32848584.677246898</c:v>
                </c:pt>
                <c:pt idx="3">
                  <c:v>31408461.147246901</c:v>
                </c:pt>
                <c:pt idx="4">
                  <c:v>0</c:v>
                </c:pt>
              </c:numCache>
            </c:numRef>
          </c:val>
          <c:extLst>
            <c:ext xmlns:c16="http://schemas.microsoft.com/office/drawing/2014/chart" uri="{C3380CC4-5D6E-409C-BE32-E72D297353CC}">
              <c16:uniqueId val="{00000000-533B-4D65-8C32-10AD71FD438F}"/>
            </c:ext>
          </c:extLst>
        </c:ser>
        <c:ser>
          <c:idx val="1"/>
          <c:order val="1"/>
          <c:tx>
            <c:strRef>
              <c:f>Chart_Data!$C$22</c:f>
              <c:strCache>
                <c:ptCount val="1"/>
                <c:pt idx="0">
                  <c:v>Anchor</c:v>
                </c:pt>
              </c:strCache>
            </c:strRef>
          </c:tx>
          <c:spPr>
            <a:solidFill>
              <a:srgbClr val="1F3864"/>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Chart_Data!$A$23:$A$27</c:f>
              <c:strCache>
                <c:ptCount val="5"/>
                <c:pt idx="0">
                  <c:v>Budget</c:v>
                </c:pt>
                <c:pt idx="1">
                  <c:v>Payroll</c:v>
                </c:pt>
                <c:pt idx="2">
                  <c:v>Commissions</c:v>
                </c:pt>
                <c:pt idx="3">
                  <c:v>Non-payroll</c:v>
                </c:pt>
                <c:pt idx="4">
                  <c:v>Base</c:v>
                </c:pt>
              </c:strCache>
            </c:strRef>
          </c:cat>
          <c:val>
            <c:numRef>
              <c:f>Chart_Data!$C$23:$C$27</c:f>
              <c:numCache>
                <c:formatCode>\$#,##0.0,,"M";\(\$#,##0.0,,"M"\);"-"</c:formatCode>
                <c:ptCount val="5"/>
                <c:pt idx="0">
                  <c:v>30536909.829999998</c:v>
                </c:pt>
                <c:pt idx="4">
                  <c:v>31408461.147246901</c:v>
                </c:pt>
              </c:numCache>
            </c:numRef>
          </c:val>
          <c:extLst>
            <c:ext xmlns:c16="http://schemas.microsoft.com/office/drawing/2014/chart" uri="{C3380CC4-5D6E-409C-BE32-E72D297353CC}">
              <c16:uniqueId val="{00000001-533B-4D65-8C32-10AD71FD438F}"/>
            </c:ext>
          </c:extLst>
        </c:ser>
        <c:ser>
          <c:idx val="2"/>
          <c:order val="2"/>
          <c:tx>
            <c:strRef>
              <c:f>Chart_Data!$D$22</c:f>
              <c:strCache>
                <c:ptCount val="1"/>
                <c:pt idx="0">
                  <c:v>Increase</c:v>
                </c:pt>
              </c:strCache>
            </c:strRef>
          </c:tx>
          <c:spPr>
            <a:solidFill>
              <a:srgbClr val="1E6B3A"/>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Chart_Data!$A$23:$A$27</c:f>
              <c:strCache>
                <c:ptCount val="5"/>
                <c:pt idx="0">
                  <c:v>Budget</c:v>
                </c:pt>
                <c:pt idx="1">
                  <c:v>Payroll</c:v>
                </c:pt>
                <c:pt idx="2">
                  <c:v>Commissions</c:v>
                </c:pt>
                <c:pt idx="3">
                  <c:v>Non-payroll</c:v>
                </c:pt>
                <c:pt idx="4">
                  <c:v>Base</c:v>
                </c:pt>
              </c:strCache>
            </c:strRef>
          </c:cat>
          <c:val>
            <c:numRef>
              <c:f>Chart_Data!$D$23:$D$27</c:f>
              <c:numCache>
                <c:formatCode>\$#,##0.0,,"M";\(\$#,##0.0,,"M"\);"-"</c:formatCode>
                <c:ptCount val="5"/>
                <c:pt idx="1">
                  <c:v>2409941.953037763</c:v>
                </c:pt>
              </c:numCache>
            </c:numRef>
          </c:val>
          <c:extLst>
            <c:ext xmlns:c16="http://schemas.microsoft.com/office/drawing/2014/chart" uri="{C3380CC4-5D6E-409C-BE32-E72D297353CC}">
              <c16:uniqueId val="{00000002-533B-4D65-8C32-10AD71FD438F}"/>
            </c:ext>
          </c:extLst>
        </c:ser>
        <c:ser>
          <c:idx val="3"/>
          <c:order val="3"/>
          <c:tx>
            <c:strRef>
              <c:f>Chart_Data!$E$22</c:f>
              <c:strCache>
                <c:ptCount val="1"/>
                <c:pt idx="0">
                  <c:v>Decrease</c:v>
                </c:pt>
              </c:strCache>
            </c:strRef>
          </c:tx>
          <c:spPr>
            <a:solidFill>
              <a:srgbClr val="9C1F2E"/>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Chart_Data!$A$23:$A$27</c:f>
              <c:strCache>
                <c:ptCount val="5"/>
                <c:pt idx="0">
                  <c:v>Budget</c:v>
                </c:pt>
                <c:pt idx="1">
                  <c:v>Payroll</c:v>
                </c:pt>
                <c:pt idx="2">
                  <c:v>Commissions</c:v>
                </c:pt>
                <c:pt idx="3">
                  <c:v>Non-payroll</c:v>
                </c:pt>
                <c:pt idx="4">
                  <c:v>Base</c:v>
                </c:pt>
              </c:strCache>
            </c:strRef>
          </c:cat>
          <c:val>
            <c:numRef>
              <c:f>Chart_Data!$E$23:$E$27</c:f>
              <c:numCache>
                <c:formatCode>\$#,##0.0,,"M";\(\$#,##0.0,,"M"\);"-"</c:formatCode>
                <c:ptCount val="5"/>
                <c:pt idx="2">
                  <c:v>98267.105790866277</c:v>
                </c:pt>
                <c:pt idx="3">
                  <c:v>1440123.530000001</c:v>
                </c:pt>
              </c:numCache>
            </c:numRef>
          </c:val>
          <c:extLst>
            <c:ext xmlns:c16="http://schemas.microsoft.com/office/drawing/2014/chart" uri="{C3380CC4-5D6E-409C-BE32-E72D297353CC}">
              <c16:uniqueId val="{00000003-533B-4D65-8C32-10AD71FD438F}"/>
            </c:ext>
          </c:extLst>
        </c:ser>
        <c:dLbls>
          <c:showLegendKey val="0"/>
          <c:showVal val="0"/>
          <c:showCatName val="0"/>
          <c:showSerName val="0"/>
          <c:showPercent val="0"/>
          <c:showBubbleSize val="0"/>
        </c:dLbls>
        <c:gapWidth val="35"/>
        <c:overlap val="100"/>
        <c:axId val="10"/>
        <c:axId val="100"/>
      </c:barChart>
      <c:catAx>
        <c:axId val="10"/>
        <c:scaling>
          <c:orientation val="minMax"/>
        </c:scaling>
        <c:delete val="0"/>
        <c:axPos val="b"/>
        <c:numFmt formatCode="General" sourceLinked="1"/>
        <c:majorTickMark val="out"/>
        <c:minorTickMark val="none"/>
        <c:tickLblPos val="low"/>
        <c:spPr>
          <a:ln w="9525">
            <a:solidFill>
              <a:srgbClr val="BFBFBF"/>
            </a:solidFill>
            <a:prstDash val="solid"/>
          </a:ln>
        </c:spPr>
        <c:txPr>
          <a:bodyPr rot="-2700000" vert="horz"/>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quot;$&quot;#,##0,,&quot;M&quot;"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stacked"/>
        <c:varyColors val="1"/>
        <c:ser>
          <c:idx val="0"/>
          <c:order val="0"/>
          <c:tx>
            <c:strRef>
              <c:f>Chart_Data!$B$30</c:f>
              <c:strCache>
                <c:ptCount val="1"/>
                <c:pt idx="0">
                  <c:v>Base</c:v>
                </c:pt>
              </c:strCache>
            </c:strRef>
          </c:tx>
          <c:spPr>
            <a:noFill/>
            <a:ln>
              <a:noFill/>
              <a:prstDash val="solid"/>
            </a:ln>
          </c:spPr>
          <c:invertIfNegative val="0"/>
          <c:cat>
            <c:strRef>
              <c:f>Chart_Data!$A$31:$A$39</c:f>
              <c:strCache>
                <c:ptCount val="9"/>
                <c:pt idx="0">
                  <c:v>Budget Operating Income /</c:v>
                </c:pt>
                <c:pt idx="1">
                  <c:v>Subscription rev</c:v>
                </c:pt>
                <c:pt idx="2">
                  <c:v>Services rev</c:v>
                </c:pt>
                <c:pt idx="3">
                  <c:v>Subs COGS</c:v>
                </c:pt>
                <c:pt idx="4">
                  <c:v>Svcs COGS</c:v>
                </c:pt>
                <c:pt idx="5">
                  <c:v>S&amp;M</c:v>
                </c:pt>
                <c:pt idx="6">
                  <c:v>R&amp;D</c:v>
                </c:pt>
                <c:pt idx="7">
                  <c:v>G&amp;A</c:v>
                </c:pt>
                <c:pt idx="8">
                  <c:v>Base Operating Income /</c:v>
                </c:pt>
              </c:strCache>
            </c:strRef>
          </c:cat>
          <c:val>
            <c:numRef>
              <c:f>Chart_Data!$B$31:$B$39</c:f>
              <c:numCache>
                <c:formatCode>\$#,##0.0,,"M";\(\$#,##0.0,,"M"\);"-"</c:formatCode>
                <c:ptCount val="9"/>
                <c:pt idx="0">
                  <c:v>0</c:v>
                </c:pt>
                <c:pt idx="1">
                  <c:v>-6050482.9512491748</c:v>
                </c:pt>
                <c:pt idx="2">
                  <c:v>-6467123.8883486222</c:v>
                </c:pt>
                <c:pt idx="3">
                  <c:v>-6467123.8883486222</c:v>
                </c:pt>
                <c:pt idx="4">
                  <c:v>-4842137.8538843365</c:v>
                </c:pt>
                <c:pt idx="5">
                  <c:v>-5743289.9952467997</c:v>
                </c:pt>
                <c:pt idx="6">
                  <c:v>-5743289.9952467997</c:v>
                </c:pt>
                <c:pt idx="7">
                  <c:v>-5713689.1711312355</c:v>
                </c:pt>
                <c:pt idx="8">
                  <c:v>0</c:v>
                </c:pt>
              </c:numCache>
            </c:numRef>
          </c:val>
          <c:extLst>
            <c:ext xmlns:c16="http://schemas.microsoft.com/office/drawing/2014/chart" uri="{C3380CC4-5D6E-409C-BE32-E72D297353CC}">
              <c16:uniqueId val="{00000000-920B-46C3-A6BC-C0483AB0BFF8}"/>
            </c:ext>
          </c:extLst>
        </c:ser>
        <c:ser>
          <c:idx val="1"/>
          <c:order val="1"/>
          <c:tx>
            <c:strRef>
              <c:f>Chart_Data!$C$30</c:f>
              <c:strCache>
                <c:ptCount val="1"/>
                <c:pt idx="0">
                  <c:v>Anchor</c:v>
                </c:pt>
              </c:strCache>
            </c:strRef>
          </c:tx>
          <c:spPr>
            <a:solidFill>
              <a:srgbClr val="1F3864"/>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FFFFFF"/>
                    </a:solidFill>
                    <a:latin typeface="Calibri"/>
                    <a:ea typeface="Calibri"/>
                    <a:cs typeface="Calibri"/>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Chart_Data!$A$31:$A$39</c:f>
              <c:strCache>
                <c:ptCount val="9"/>
                <c:pt idx="0">
                  <c:v>Budget Operating Income /</c:v>
                </c:pt>
                <c:pt idx="1">
                  <c:v>Subscription rev</c:v>
                </c:pt>
                <c:pt idx="2">
                  <c:v>Services rev</c:v>
                </c:pt>
                <c:pt idx="3">
                  <c:v>Subs COGS</c:v>
                </c:pt>
                <c:pt idx="4">
                  <c:v>Svcs COGS</c:v>
                </c:pt>
                <c:pt idx="5">
                  <c:v>S&amp;M</c:v>
                </c:pt>
                <c:pt idx="6">
                  <c:v>R&amp;D</c:v>
                </c:pt>
                <c:pt idx="7">
                  <c:v>G&amp;A</c:v>
                </c:pt>
                <c:pt idx="8">
                  <c:v>Base Operating Income /</c:v>
                </c:pt>
              </c:strCache>
            </c:strRef>
          </c:cat>
          <c:val>
            <c:numRef>
              <c:f>Chart_Data!$C$31:$C$39</c:f>
              <c:numCache>
                <c:formatCode>\$#,##0.0,,"M";\(\$#,##0.0,,"M"\);"-"</c:formatCode>
                <c:ptCount val="9"/>
                <c:pt idx="0">
                  <c:v>-5625466.8799999952</c:v>
                </c:pt>
                <c:pt idx="8">
                  <c:v>-5713689.1711312383</c:v>
                </c:pt>
              </c:numCache>
            </c:numRef>
          </c:val>
          <c:extLst>
            <c:ext xmlns:c16="http://schemas.microsoft.com/office/drawing/2014/chart" uri="{C3380CC4-5D6E-409C-BE32-E72D297353CC}">
              <c16:uniqueId val="{00000001-920B-46C3-A6BC-C0483AB0BFF8}"/>
            </c:ext>
          </c:extLst>
        </c:ser>
        <c:ser>
          <c:idx val="2"/>
          <c:order val="2"/>
          <c:tx>
            <c:strRef>
              <c:f>Chart_Data!$D$30</c:f>
              <c:strCache>
                <c:ptCount val="1"/>
                <c:pt idx="0">
                  <c:v>Increase</c:v>
                </c:pt>
              </c:strCache>
            </c:strRef>
          </c:tx>
          <c:spPr>
            <a:solidFill>
              <a:srgbClr val="1E6B3A"/>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Chart_Data!$A$31:$A$39</c:f>
              <c:strCache>
                <c:ptCount val="9"/>
                <c:pt idx="0">
                  <c:v>Budget Operating Income /</c:v>
                </c:pt>
                <c:pt idx="1">
                  <c:v>Subscription rev</c:v>
                </c:pt>
                <c:pt idx="2">
                  <c:v>Services rev</c:v>
                </c:pt>
                <c:pt idx="3">
                  <c:v>Subs COGS</c:v>
                </c:pt>
                <c:pt idx="4">
                  <c:v>Svcs COGS</c:v>
                </c:pt>
                <c:pt idx="5">
                  <c:v>S&amp;M</c:v>
                </c:pt>
                <c:pt idx="6">
                  <c:v>R&amp;D</c:v>
                </c:pt>
                <c:pt idx="7">
                  <c:v>G&amp;A</c:v>
                </c:pt>
                <c:pt idx="8">
                  <c:v>Base Operating Income /</c:v>
                </c:pt>
              </c:strCache>
            </c:strRef>
          </c:cat>
          <c:val>
            <c:numRef>
              <c:f>Chart_Data!$D$31:$D$39</c:f>
              <c:numCache>
                <c:formatCode>\$#,##0.0,,"M";\(\$#,##0.0,,"M"\);"-"</c:formatCode>
                <c:ptCount val="9"/>
                <c:pt idx="3">
                  <c:v>1660776.6302001071</c:v>
                </c:pt>
                <c:pt idx="6">
                  <c:v>80429.13787378557</c:v>
                </c:pt>
              </c:numCache>
            </c:numRef>
          </c:val>
          <c:extLst>
            <c:ext xmlns:c16="http://schemas.microsoft.com/office/drawing/2014/chart" uri="{C3380CC4-5D6E-409C-BE32-E72D297353CC}">
              <c16:uniqueId val="{00000002-920B-46C3-A6BC-C0483AB0BFF8}"/>
            </c:ext>
          </c:extLst>
        </c:ser>
        <c:ser>
          <c:idx val="3"/>
          <c:order val="3"/>
          <c:tx>
            <c:strRef>
              <c:f>Chart_Data!$E$30</c:f>
              <c:strCache>
                <c:ptCount val="1"/>
                <c:pt idx="0">
                  <c:v>Decrease</c:v>
                </c:pt>
              </c:strCache>
            </c:strRef>
          </c:tx>
          <c:spPr>
            <a:solidFill>
              <a:srgbClr val="9C1F2E"/>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Chart_Data!$A$31:$A$39</c:f>
              <c:strCache>
                <c:ptCount val="9"/>
                <c:pt idx="0">
                  <c:v>Budget Operating Income /</c:v>
                </c:pt>
                <c:pt idx="1">
                  <c:v>Subscription rev</c:v>
                </c:pt>
                <c:pt idx="2">
                  <c:v>Services rev</c:v>
                </c:pt>
                <c:pt idx="3">
                  <c:v>Subs COGS</c:v>
                </c:pt>
                <c:pt idx="4">
                  <c:v>Svcs COGS</c:v>
                </c:pt>
                <c:pt idx="5">
                  <c:v>S&amp;M</c:v>
                </c:pt>
                <c:pt idx="6">
                  <c:v>R&amp;D</c:v>
                </c:pt>
                <c:pt idx="7">
                  <c:v>G&amp;A</c:v>
                </c:pt>
                <c:pt idx="8">
                  <c:v>Base Operating Income /</c:v>
                </c:pt>
              </c:strCache>
            </c:strRef>
          </c:cat>
          <c:val>
            <c:numRef>
              <c:f>Chart_Data!$E$31:$E$39</c:f>
              <c:numCache>
                <c:formatCode>\$#,##0.0,,"M";\(\$#,##0.0,,"M"\);"-"</c:formatCode>
                <c:ptCount val="9"/>
                <c:pt idx="1">
                  <c:v>425016.07124917948</c:v>
                </c:pt>
                <c:pt idx="2">
                  <c:v>416640.93709944747</c:v>
                </c:pt>
                <c:pt idx="4">
                  <c:v>35790.595735822222</c:v>
                </c:pt>
                <c:pt idx="5">
                  <c:v>901152.14136246219</c:v>
                </c:pt>
                <c:pt idx="7">
                  <c:v>50828.313758221448</c:v>
                </c:pt>
              </c:numCache>
            </c:numRef>
          </c:val>
          <c:extLst>
            <c:ext xmlns:c16="http://schemas.microsoft.com/office/drawing/2014/chart" uri="{C3380CC4-5D6E-409C-BE32-E72D297353CC}">
              <c16:uniqueId val="{00000003-920B-46C3-A6BC-C0483AB0BFF8}"/>
            </c:ext>
          </c:extLst>
        </c:ser>
        <c:dLbls>
          <c:showLegendKey val="0"/>
          <c:showVal val="0"/>
          <c:showCatName val="0"/>
          <c:showSerName val="0"/>
          <c:showPercent val="0"/>
          <c:showBubbleSize val="0"/>
        </c:dLbls>
        <c:gapWidth val="35"/>
        <c:overlap val="100"/>
        <c:axId val="10"/>
        <c:axId val="100"/>
      </c:barChart>
      <c:catAx>
        <c:axId val="10"/>
        <c:scaling>
          <c:orientation val="minMax"/>
        </c:scaling>
        <c:delete val="0"/>
        <c:axPos val="b"/>
        <c:numFmt formatCode="General" sourceLinked="1"/>
        <c:majorTickMark val="out"/>
        <c:minorTickMark val="none"/>
        <c:tickLblPos val="low"/>
        <c:spPr>
          <a:ln w="9525">
            <a:solidFill>
              <a:srgbClr val="BFBFBF"/>
            </a:solidFill>
            <a:prstDash val="solid"/>
          </a:ln>
        </c:spPr>
        <c:txPr>
          <a:bodyPr rot="-2700000" vert="horz"/>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quot;$&quot;#,##0,,&quot;M&quot;"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strRef>
              <c:f>Chart_Data!$B$42</c:f>
              <c:strCache>
                <c:ptCount val="1"/>
                <c:pt idx="0">
                  <c:v>Board Budget</c:v>
                </c:pt>
              </c:strCache>
            </c:strRef>
          </c:tx>
          <c:spPr>
            <a:solidFill>
              <a:srgbClr val="A6A6A6"/>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595959"/>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Chart_Data!$A$43:$A$46</c:f>
              <c:strCache>
                <c:ptCount val="4"/>
                <c:pt idx="0">
                  <c:v>Exit ARR</c:v>
                </c:pt>
                <c:pt idx="1">
                  <c:v>Revenue</c:v>
                </c:pt>
                <c:pt idx="2">
                  <c:v>Gross Profit</c:v>
                </c:pt>
                <c:pt idx="3">
                  <c:v>Total OpEx</c:v>
                </c:pt>
              </c:strCache>
            </c:strRef>
          </c:cat>
          <c:val>
            <c:numRef>
              <c:f>Chart_Data!$B$43:$B$46</c:f>
              <c:numCache>
                <c:formatCode>\$#,##0.0,,"M";\(\$#,##0.0,,"M"\);"-"</c:formatCode>
                <c:ptCount val="4"/>
                <c:pt idx="0">
                  <c:v>37589315.840000004</c:v>
                </c:pt>
                <c:pt idx="1">
                  <c:v>33632627.259999998</c:v>
                </c:pt>
                <c:pt idx="2">
                  <c:v>24911442.949999999</c:v>
                </c:pt>
                <c:pt idx="3">
                  <c:v>30536909.829999998</c:v>
                </c:pt>
              </c:numCache>
            </c:numRef>
          </c:val>
          <c:extLst>
            <c:ext xmlns:c16="http://schemas.microsoft.com/office/drawing/2014/chart" uri="{C3380CC4-5D6E-409C-BE32-E72D297353CC}">
              <c16:uniqueId val="{00000000-5279-4DE2-A2F7-CB9F427DF106}"/>
            </c:ext>
          </c:extLst>
        </c:ser>
        <c:ser>
          <c:idx val="1"/>
          <c:order val="1"/>
          <c:tx>
            <c:strRef>
              <c:f>Chart_Data!$C$42</c:f>
              <c:strCache>
                <c:ptCount val="1"/>
                <c:pt idx="0">
                  <c:v>Base reforecast</c:v>
                </c:pt>
              </c:strCache>
            </c:strRef>
          </c:tx>
          <c:spPr>
            <a:solidFill>
              <a:srgbClr val="2E5E8C"/>
            </a:solidFill>
            <a:ln>
              <a:noFill/>
              <a:prstDash val="solid"/>
            </a:ln>
          </c:spPr>
          <c:invertIfNegative val="0"/>
          <c:dLbls>
            <c:numFmt formatCode="&quot;$&quot;#,##0.0,,&quot;M&quot;" sourceLinked="0"/>
            <c:spPr>
              <a:noFill/>
              <a:ln>
                <a:noFill/>
              </a:ln>
              <a:effectLst/>
            </c:spPr>
            <c:txPr>
              <a:bodyPr wrap="square" lIns="38100" tIns="19050" rIns="38100" bIns="19050" anchor="ctr">
                <a:spAutoFit/>
              </a:bodyPr>
              <a:lstStyle/>
              <a:p>
                <a:pPr>
                  <a:defRPr sz="900" b="1">
                    <a:solidFill>
                      <a:srgbClr val="1F3864"/>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Chart_Data!$A$43:$A$46</c:f>
              <c:strCache>
                <c:ptCount val="4"/>
                <c:pt idx="0">
                  <c:v>Exit ARR</c:v>
                </c:pt>
                <c:pt idx="1">
                  <c:v>Revenue</c:v>
                </c:pt>
                <c:pt idx="2">
                  <c:v>Gross Profit</c:v>
                </c:pt>
                <c:pt idx="3">
                  <c:v>Total OpEx</c:v>
                </c:pt>
              </c:strCache>
            </c:strRef>
          </c:cat>
          <c:val>
            <c:numRef>
              <c:f>Chart_Data!$C$43:$C$46</c:f>
              <c:numCache>
                <c:formatCode>\$#,##0.0,,"M";\(\$#,##0.0,,"M"\);"-"</c:formatCode>
                <c:ptCount val="4"/>
                <c:pt idx="0">
                  <c:v>34816416.564797662</c:v>
                </c:pt>
                <c:pt idx="1">
                  <c:v>32790970.25165138</c:v>
                </c:pt>
                <c:pt idx="2">
                  <c:v>25694771.976115659</c:v>
                </c:pt>
                <c:pt idx="3">
                  <c:v>31408461.147246901</c:v>
                </c:pt>
              </c:numCache>
            </c:numRef>
          </c:val>
          <c:extLst>
            <c:ext xmlns:c16="http://schemas.microsoft.com/office/drawing/2014/chart" uri="{C3380CC4-5D6E-409C-BE32-E72D297353CC}">
              <c16:uniqueId val="{00000001-5279-4DE2-A2F7-CB9F427DF106}"/>
            </c:ext>
          </c:extLst>
        </c:ser>
        <c:dLbls>
          <c:showLegendKey val="0"/>
          <c:showVal val="1"/>
          <c:showCatName val="0"/>
          <c:showSerName val="0"/>
          <c:showPercent val="1"/>
          <c:showBubbleSize val="1"/>
        </c:dLbls>
        <c:gapWidth val="60"/>
        <c:overlap val="-10"/>
        <c:axId val="10"/>
        <c:axId val="100"/>
      </c:barChart>
      <c:catAx>
        <c:axId val="10"/>
        <c:scaling>
          <c:orientation val="minMax"/>
        </c:scaling>
        <c:delete val="0"/>
        <c:axPos val="b"/>
        <c:numFmt formatCode="General" sourceLinked="1"/>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quot;$&quot;#,##0,,&quot;M&quot;"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majorUnit val="100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1"/>
        <c:ser>
          <c:idx val="0"/>
          <c:order val="0"/>
          <c:tx>
            <c:strRef>
              <c:f>Chart_Data!$B$89</c:f>
              <c:strCache>
                <c:ptCount val="1"/>
                <c:pt idx="0">
                  <c:v>New Logo capacity</c:v>
                </c:pt>
              </c:strCache>
            </c:strRef>
          </c:tx>
          <c:spPr>
            <a:solidFill>
              <a:srgbClr val="9DB9D2"/>
            </a:solidFill>
            <a:ln>
              <a:noFill/>
              <a:prstDash val="solid"/>
            </a:ln>
          </c:spPr>
          <c:invertIfNegative val="0"/>
          <c:dLbls>
            <c:delete val="1"/>
          </c:dLbls>
          <c:cat>
            <c:strRef>
              <c:f>Chart_Data!$A$90:$A$92</c:f>
              <c:strCache>
                <c:ptCount val="3"/>
                <c:pt idx="0">
                  <c:v>SMB</c:v>
                </c:pt>
                <c:pt idx="1">
                  <c:v>Mid-Market</c:v>
                </c:pt>
                <c:pt idx="2">
                  <c:v>Enterprise</c:v>
                </c:pt>
              </c:strCache>
            </c:strRef>
          </c:cat>
          <c:val>
            <c:numRef>
              <c:f>Chart_Data!$B$90:$B$92</c:f>
              <c:numCache>
                <c:formatCode>#,##0,;\(#,##0,\);"-"</c:formatCode>
                <c:ptCount val="3"/>
                <c:pt idx="0">
                  <c:v>714807.53045252606</c:v>
                </c:pt>
                <c:pt idx="1">
                  <c:v>1159750.8519158859</c:v>
                </c:pt>
                <c:pt idx="2">
                  <c:v>1046300.3998817489</c:v>
                </c:pt>
              </c:numCache>
            </c:numRef>
          </c:val>
          <c:extLst>
            <c:ext xmlns:c16="http://schemas.microsoft.com/office/drawing/2014/chart" uri="{C3380CC4-5D6E-409C-BE32-E72D297353CC}">
              <c16:uniqueId val="{00000000-67A6-4485-880C-84459F09BC9D}"/>
            </c:ext>
          </c:extLst>
        </c:ser>
        <c:ser>
          <c:idx val="1"/>
          <c:order val="1"/>
          <c:tx>
            <c:strRef>
              <c:f>Chart_Data!$C$89</c:f>
              <c:strCache>
                <c:ptCount val="1"/>
                <c:pt idx="0">
                  <c:v>Pipeline-supported</c:v>
                </c:pt>
              </c:strCache>
            </c:strRef>
          </c:tx>
          <c:spPr>
            <a:solidFill>
              <a:srgbClr val="A6A6A6"/>
            </a:solidFill>
            <a:ln>
              <a:noFill/>
              <a:prstDash val="solid"/>
            </a:ln>
          </c:spPr>
          <c:invertIfNegative val="0"/>
          <c:dLbls>
            <c:delete val="1"/>
          </c:dLbls>
          <c:cat>
            <c:strRef>
              <c:f>Chart_Data!$A$90:$A$92</c:f>
              <c:strCache>
                <c:ptCount val="3"/>
                <c:pt idx="0">
                  <c:v>SMB</c:v>
                </c:pt>
                <c:pt idx="1">
                  <c:v>Mid-Market</c:v>
                </c:pt>
                <c:pt idx="2">
                  <c:v>Enterprise</c:v>
                </c:pt>
              </c:strCache>
            </c:strRef>
          </c:cat>
          <c:val>
            <c:numRef>
              <c:f>Chart_Data!$C$90:$C$92</c:f>
              <c:numCache>
                <c:formatCode>#,##0,;\(#,##0,\);"-"</c:formatCode>
                <c:ptCount val="3"/>
                <c:pt idx="0">
                  <c:v>386188.83559110289</c:v>
                </c:pt>
                <c:pt idx="1">
                  <c:v>534297.93248792272</c:v>
                </c:pt>
                <c:pt idx="2">
                  <c:v>298807.88062499999</c:v>
                </c:pt>
              </c:numCache>
            </c:numRef>
          </c:val>
          <c:extLst>
            <c:ext xmlns:c16="http://schemas.microsoft.com/office/drawing/2014/chart" uri="{C3380CC4-5D6E-409C-BE32-E72D297353CC}">
              <c16:uniqueId val="{00000001-67A6-4485-880C-84459F09BC9D}"/>
            </c:ext>
          </c:extLst>
        </c:ser>
        <c:ser>
          <c:idx val="2"/>
          <c:order val="2"/>
          <c:tx>
            <c:strRef>
              <c:f>Chart_Data!$D$89</c:f>
              <c:strCache>
                <c:ptCount val="1"/>
                <c:pt idx="0">
                  <c:v>Achievable New Logo ARR</c:v>
                </c:pt>
              </c:strCache>
            </c:strRef>
          </c:tx>
          <c:spPr>
            <a:solidFill>
              <a:srgbClr val="2E5E8C"/>
            </a:solidFill>
            <a:ln>
              <a:noFill/>
              <a:prstDash val="solid"/>
            </a:ln>
          </c:spPr>
          <c:invertIfNegative val="0"/>
          <c:dLbls>
            <c:numFmt formatCode="#,##0,&quot;K&quot;" sourceLinked="0"/>
            <c:spPr>
              <a:noFill/>
              <a:ln>
                <a:noFill/>
              </a:ln>
              <a:effectLst/>
            </c:spPr>
            <c:txPr>
              <a:bodyPr wrap="square" lIns="38100" tIns="19050" rIns="38100" bIns="19050" anchor="ctr">
                <a:spAutoFit/>
              </a:bodyPr>
              <a:lstStyle/>
              <a:p>
                <a:pPr>
                  <a:defRPr sz="900" b="1">
                    <a:solidFill>
                      <a:srgbClr val="1F3864"/>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Chart_Data!$A$90:$A$92</c:f>
              <c:strCache>
                <c:ptCount val="3"/>
                <c:pt idx="0">
                  <c:v>SMB</c:v>
                </c:pt>
                <c:pt idx="1">
                  <c:v>Mid-Market</c:v>
                </c:pt>
                <c:pt idx="2">
                  <c:v>Enterprise</c:v>
                </c:pt>
              </c:strCache>
            </c:strRef>
          </c:cat>
          <c:val>
            <c:numRef>
              <c:f>Chart_Data!$D$90:$D$92</c:f>
              <c:numCache>
                <c:formatCode>#,##0,;\(#,##0,\);"-"</c:formatCode>
                <c:ptCount val="3"/>
                <c:pt idx="0">
                  <c:v>366168.10929849331</c:v>
                </c:pt>
                <c:pt idx="1">
                  <c:v>517792.04364095401</c:v>
                </c:pt>
                <c:pt idx="2">
                  <c:v>298807.88062499999</c:v>
                </c:pt>
              </c:numCache>
            </c:numRef>
          </c:val>
          <c:extLst>
            <c:ext xmlns:c16="http://schemas.microsoft.com/office/drawing/2014/chart" uri="{C3380CC4-5D6E-409C-BE32-E72D297353CC}">
              <c16:uniqueId val="{00000002-67A6-4485-880C-84459F09BC9D}"/>
            </c:ext>
          </c:extLst>
        </c:ser>
        <c:dLbls>
          <c:showLegendKey val="0"/>
          <c:showVal val="1"/>
          <c:showCatName val="0"/>
          <c:showSerName val="0"/>
          <c:showPercent val="1"/>
          <c:showBubbleSize val="1"/>
        </c:dLbls>
        <c:gapWidth val="60"/>
        <c:overlap val="-10"/>
        <c:axId val="10"/>
        <c:axId val="100"/>
      </c:barChart>
      <c:catAx>
        <c:axId val="10"/>
        <c:scaling>
          <c:orientation val="minMax"/>
        </c:scaling>
        <c:delete val="0"/>
        <c:axPos val="b"/>
        <c:numFmt formatCode="General" sourceLinked="1"/>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0,"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majorUnit val="5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Magic number</c:v>
          </c:tx>
          <c:spPr>
            <a:solidFill>
              <a:srgbClr val="2E5E8C"/>
            </a:solidFill>
            <a:ln>
              <a:noFill/>
            </a:ln>
            <a:effectLst/>
            <a:extLst>
              <a:ext uri="{91240B29-F687-4F45-9708-019B960494DF}">
                <a14:hiddenLine xmlns:a14="http://schemas.microsoft.com/office/drawing/2010/main">
                  <a:noFill/>
                </a14:hiddenLine>
              </a:ext>
            </a:extLst>
          </c:spPr>
          <c:invertIfNegative val="0"/>
          <c:dLbls>
            <c:numFmt formatCode="0.00" sourceLinked="0"/>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Chart_Data!$A$197:$A$205</c:f>
              <c:strCache>
                <c:ptCount val="9"/>
                <c:pt idx="0">
                  <c:v>2024Q2</c:v>
                </c:pt>
                <c:pt idx="1">
                  <c:v>2024Q3</c:v>
                </c:pt>
                <c:pt idx="2">
                  <c:v>2024Q4</c:v>
                </c:pt>
                <c:pt idx="3">
                  <c:v>2025Q1</c:v>
                </c:pt>
                <c:pt idx="4">
                  <c:v>2025Q2</c:v>
                </c:pt>
                <c:pt idx="5">
                  <c:v>2025Q3</c:v>
                </c:pt>
                <c:pt idx="6">
                  <c:v>2025Q4</c:v>
                </c:pt>
                <c:pt idx="7">
                  <c:v>2026Q1</c:v>
                </c:pt>
                <c:pt idx="8">
                  <c:v>2026Q2</c:v>
                </c:pt>
              </c:strCache>
            </c:strRef>
          </c:cat>
          <c:val>
            <c:numRef>
              <c:f>Chart_Data!$B$197:$B$205</c:f>
              <c:numCache>
                <c:formatCode>General</c:formatCode>
                <c:ptCount val="9"/>
                <c:pt idx="0">
                  <c:v>1.422220877505642</c:v>
                </c:pt>
                <c:pt idx="1">
                  <c:v>0.44262941795474853</c:v>
                </c:pt>
                <c:pt idx="2">
                  <c:v>0.2854476344742144</c:v>
                </c:pt>
                <c:pt idx="3">
                  <c:v>0.56003342068178308</c:v>
                </c:pt>
                <c:pt idx="4">
                  <c:v>0.45746701965102299</c:v>
                </c:pt>
                <c:pt idx="5">
                  <c:v>0.3395122759927976</c:v>
                </c:pt>
                <c:pt idx="6">
                  <c:v>0.35164929481827628</c:v>
                </c:pt>
                <c:pt idx="7">
                  <c:v>0.4418127845196993</c:v>
                </c:pt>
                <c:pt idx="8">
                  <c:v>0.34277260786714608</c:v>
                </c:pt>
              </c:numCache>
            </c:numRef>
          </c:val>
          <c:extLst>
            <c:ext xmlns:c16="http://schemas.microsoft.com/office/drawing/2014/chart" uri="{C3380CC4-5D6E-409C-BE32-E72D297353CC}">
              <c16:uniqueId val="{00000001-2DB7-42A9-BADC-33C3A6C96084}"/>
            </c:ext>
          </c:extLst>
        </c:ser>
        <c:dLbls>
          <c:showLegendKey val="0"/>
          <c:showVal val="0"/>
          <c:showCatName val="0"/>
          <c:showSerName val="0"/>
          <c:showPercent val="0"/>
          <c:showBubbleSize val="0"/>
        </c:dLbls>
        <c:gapWidth val="55"/>
        <c:axId val="1856694176"/>
        <c:axId val="1767055984"/>
      </c:barChart>
      <c:catAx>
        <c:axId val="1856694176"/>
        <c:scaling>
          <c:orientation val="minMax"/>
        </c:scaling>
        <c:delete val="0"/>
        <c:axPos val="b"/>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767055984"/>
        <c:crosses val="autoZero"/>
        <c:auto val="1"/>
        <c:lblAlgn val="ctr"/>
        <c:lblOffset val="100"/>
        <c:noMultiLvlLbl val="0"/>
      </c:catAx>
      <c:valAx>
        <c:axId val="1767055984"/>
        <c:scaling>
          <c:orientation val="minMax"/>
        </c:scaling>
        <c:delete val="0"/>
        <c:axPos val="l"/>
        <c:majorGridlines>
          <c:spPr>
            <a:ln w="9525">
              <a:solidFill>
                <a:srgbClr val="E8E8E8"/>
              </a:solidFill>
            </a:ln>
          </c:spPr>
        </c:majorGridlines>
        <c:numFmt formatCode="0.0"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856694176"/>
        <c:crosses val="autoZero"/>
        <c:crossBetween val="between"/>
        <c:majorUnit val="0.25"/>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1"/>
        <c:ser>
          <c:idx val="0"/>
          <c:order val="0"/>
          <c:tx>
            <c:strRef>
              <c:f>Chart_Data!$B$122</c:f>
              <c:strCache>
                <c:ptCount val="1"/>
                <c:pt idx="0">
                  <c:v>Incremental Dec-2027 ARR</c:v>
                </c:pt>
              </c:strCache>
            </c:strRef>
          </c:tx>
          <c:spPr>
            <a:solidFill>
              <a:srgbClr val="2E5E8C"/>
            </a:solidFill>
            <a:ln>
              <a:noFill/>
              <a:prstDash val="solid"/>
            </a:ln>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0-A80F-47B2-81AD-B263E24B7269}"/>
                </c:ext>
              </c:extLst>
            </c:dLbl>
            <c:dLbl>
              <c:idx val="1"/>
              <c:delete val="1"/>
              <c:extLst>
                <c:ext xmlns:c15="http://schemas.microsoft.com/office/drawing/2012/chart" uri="{CE6537A1-D6FC-4f65-9D91-7224C49458BB}"/>
                <c:ext xmlns:c16="http://schemas.microsoft.com/office/drawing/2014/chart" uri="{C3380CC4-5D6E-409C-BE32-E72D297353CC}">
                  <c16:uniqueId val="{00000001-A80F-47B2-81AD-B263E24B7269}"/>
                </c:ext>
              </c:extLst>
            </c:dLbl>
            <c:numFmt formatCode="#,##0,&quot;K&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Chart_Data!$A$123:$A$125</c:f>
              <c:strCache>
                <c:ptCount val="3"/>
                <c:pt idx="0">
                  <c:v>No incremental</c:v>
                </c:pt>
                <c:pt idx="1">
                  <c:v>Targeted</c:v>
                </c:pt>
                <c:pt idx="2">
                  <c:v>Full Capacity-Close</c:v>
                </c:pt>
              </c:strCache>
            </c:strRef>
          </c:cat>
          <c:val>
            <c:numRef>
              <c:f>Chart_Data!$B$123:$B$125</c:f>
              <c:numCache>
                <c:formatCode>#,##0,;\(#,##0,\);"-"</c:formatCode>
                <c:ptCount val="3"/>
                <c:pt idx="0">
                  <c:v>0</c:v>
                </c:pt>
                <c:pt idx="1">
                  <c:v>0</c:v>
                </c:pt>
                <c:pt idx="2">
                  <c:v>147322.040569365</c:v>
                </c:pt>
              </c:numCache>
            </c:numRef>
          </c:val>
          <c:extLst>
            <c:ext xmlns:c16="http://schemas.microsoft.com/office/drawing/2014/chart" uri="{C3380CC4-5D6E-409C-BE32-E72D297353CC}">
              <c16:uniqueId val="{00000000-519A-45CD-AE60-354B4BF91EEC}"/>
            </c:ext>
          </c:extLst>
        </c:ser>
        <c:ser>
          <c:idx val="1"/>
          <c:order val="1"/>
          <c:tx>
            <c:strRef>
              <c:f>Chart_Data!$C$122</c:f>
              <c:strCache>
                <c:ptCount val="1"/>
                <c:pt idx="0">
                  <c:v>Incremental cash consumed</c:v>
                </c:pt>
              </c:strCache>
            </c:strRef>
          </c:tx>
          <c:spPr>
            <a:solidFill>
              <a:srgbClr val="9C1F2E"/>
            </a:solidFill>
            <a:ln>
              <a:noFill/>
              <a:prstDash val="solid"/>
            </a:ln>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2-A80F-47B2-81AD-B263E24B7269}"/>
                </c:ext>
              </c:extLst>
            </c:dLbl>
            <c:dLbl>
              <c:idx val="1"/>
              <c:delete val="1"/>
              <c:extLst>
                <c:ext xmlns:c15="http://schemas.microsoft.com/office/drawing/2012/chart" uri="{CE6537A1-D6FC-4f65-9D91-7224C49458BB}"/>
                <c:ext xmlns:c16="http://schemas.microsoft.com/office/drawing/2014/chart" uri="{C3380CC4-5D6E-409C-BE32-E72D297353CC}">
                  <c16:uniqueId val="{00000003-A80F-47B2-81AD-B263E24B7269}"/>
                </c:ext>
              </c:extLst>
            </c:dLbl>
            <c:numFmt formatCode="#,##0,&quot;K&quot;" sourceLinked="0"/>
            <c:spPr>
              <a:noFill/>
              <a:ln>
                <a:noFill/>
              </a:ln>
              <a:effectLst/>
            </c:spPr>
            <c:txPr>
              <a:bodyPr wrap="square" lIns="38100" tIns="19050" rIns="38100" bIns="19050" anchor="ctr">
                <a:spAutoFit/>
              </a:bodyPr>
              <a:lstStyle/>
              <a:p>
                <a:pPr>
                  <a:defRPr sz="900" b="1">
                    <a:solidFill>
                      <a:srgbClr val="262626"/>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Chart_Data!$A$123:$A$125</c:f>
              <c:strCache>
                <c:ptCount val="3"/>
                <c:pt idx="0">
                  <c:v>No incremental</c:v>
                </c:pt>
                <c:pt idx="1">
                  <c:v>Targeted</c:v>
                </c:pt>
                <c:pt idx="2">
                  <c:v>Full Capacity-Close</c:v>
                </c:pt>
              </c:strCache>
            </c:strRef>
          </c:cat>
          <c:val>
            <c:numRef>
              <c:f>Chart_Data!$C$123:$C$125</c:f>
              <c:numCache>
                <c:formatCode>#,##0,;\(#,##0,\);"-"</c:formatCode>
                <c:ptCount val="3"/>
                <c:pt idx="0">
                  <c:v>0</c:v>
                </c:pt>
                <c:pt idx="1">
                  <c:v>0</c:v>
                </c:pt>
                <c:pt idx="2">
                  <c:v>-637083.11137513816</c:v>
                </c:pt>
              </c:numCache>
            </c:numRef>
          </c:val>
          <c:extLst>
            <c:ext xmlns:c16="http://schemas.microsoft.com/office/drawing/2014/chart" uri="{C3380CC4-5D6E-409C-BE32-E72D297353CC}">
              <c16:uniqueId val="{00000001-519A-45CD-AE60-354B4BF91EEC}"/>
            </c:ext>
          </c:extLst>
        </c:ser>
        <c:dLbls>
          <c:showLegendKey val="0"/>
          <c:showVal val="1"/>
          <c:showCatName val="0"/>
          <c:showSerName val="0"/>
          <c:showPercent val="1"/>
          <c:showBubbleSize val="1"/>
        </c:dLbls>
        <c:gapWidth val="70"/>
        <c:overlap val="-10"/>
        <c:axId val="10"/>
        <c:axId val="100"/>
      </c:barChart>
      <c:catAx>
        <c:axId val="10"/>
        <c:scaling>
          <c:orientation val="minMax"/>
        </c:scaling>
        <c:delete val="0"/>
        <c:axPos val="b"/>
        <c:numFmt formatCode="General" sourceLinked="1"/>
        <c:majorTickMark val="out"/>
        <c:minorTickMark val="none"/>
        <c:tickLblPos val="low"/>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525">
              <a:solidFill>
                <a:srgbClr val="E8E8E8"/>
              </a:solidFill>
              <a:prstDash val="solid"/>
            </a:ln>
          </c:spPr>
        </c:majorGridlines>
        <c:numFmt formatCode="#,##0," sourceLinked="0"/>
        <c:majorTickMark val="out"/>
        <c:minorTickMark val="none"/>
        <c:tickLblPos val="nextTo"/>
        <c:spPr>
          <a:ln w="9525">
            <a:solidFill>
              <a:srgbClr val="BFBFBF"/>
            </a:solidFill>
            <a:prstDash val="solid"/>
          </a:ln>
        </c:spPr>
        <c:txPr>
          <a:bodyPr/>
          <a:lstStyle/>
          <a:p>
            <a:pPr>
              <a:defRPr sz="950">
                <a:solidFill>
                  <a:srgbClr val="595959"/>
                </a:solidFill>
                <a:latin typeface="Calibri"/>
                <a:ea typeface="Calibri"/>
                <a:cs typeface="Calibri"/>
              </a:defRPr>
            </a:pPr>
            <a:endParaRPr lang="en-US"/>
          </a:p>
        </c:txPr>
        <c:crossAx val="10"/>
        <c:crosses val="autoZero"/>
        <c:crossBetween val="between"/>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0"/>
    <c:dispBlanksAs val="gap"/>
    <c:showDLblsOverMax val="1"/>
  </c:chart>
  <c:spPr>
    <a:solidFill>
      <a:srgbClr val="F2F5F9"/>
    </a:solidFill>
    <a:ln w="9525">
      <a:solidFill>
        <a:srgbClr val="E1E8F0"/>
      </a:solidFill>
    </a:ln>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Board Budget</c:v>
          </c:tx>
          <c:spPr>
            <a:solidFill>
              <a:srgbClr val="A6A6A6"/>
            </a:solidFill>
            <a:ln>
              <a:noFill/>
            </a:ln>
            <a:effectLst/>
            <a:extLst>
              <a:ext uri="{91240B29-F687-4F45-9708-019B960494DF}">
                <a14:hiddenLine xmlns:a14="http://schemas.microsoft.com/office/drawing/2010/main">
                  <a:noFill/>
                </a14:hiddenLine>
              </a:ext>
            </a:extLst>
          </c:spPr>
          <c:invertIfNegative val="0"/>
          <c:dLbls>
            <c:numFmt formatCode="&quot;$&quot;#,##0.0,,&quot;M&quot;;\(&quot;$&quot;#,##0.0,,&quot;M&quot;\)" sourceLinked="0"/>
            <c:spPr>
              <a:noFill/>
              <a:ln>
                <a:noFill/>
              </a:ln>
              <a:effectLst/>
            </c:spPr>
            <c:txPr>
              <a:bodyPr wrap="square" lIns="38100" tIns="19050" rIns="38100" bIns="19050" anchor="ctr">
                <a:spAutoFit/>
              </a:bodyPr>
              <a:lstStyle/>
              <a:p>
                <a:pPr>
                  <a:defRPr sz="850" b="1">
                    <a:solidFill>
                      <a:srgbClr val="262626"/>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Chart_Data!$A$216:$A$218</c:f>
              <c:strCache>
                <c:ptCount val="3"/>
                <c:pt idx="0">
                  <c:v>Gross Profit</c:v>
                </c:pt>
                <c:pt idx="1">
                  <c:v>Total OpEx</c:v>
                </c:pt>
                <c:pt idx="2">
                  <c:v>Operating Income</c:v>
                </c:pt>
              </c:strCache>
            </c:strRef>
          </c:cat>
          <c:val>
            <c:numRef>
              <c:f>Chart_Data!$B$216:$B$218</c:f>
              <c:numCache>
                <c:formatCode>General</c:formatCode>
                <c:ptCount val="3"/>
                <c:pt idx="0">
                  <c:v>24911442.949999999</c:v>
                </c:pt>
                <c:pt idx="1">
                  <c:v>30536909.829999998</c:v>
                </c:pt>
                <c:pt idx="2">
                  <c:v>-5625466.8799999952</c:v>
                </c:pt>
              </c:numCache>
            </c:numRef>
          </c:val>
          <c:extLst>
            <c:ext xmlns:c16="http://schemas.microsoft.com/office/drawing/2014/chart" uri="{C3380CC4-5D6E-409C-BE32-E72D297353CC}">
              <c16:uniqueId val="{00000001-D99C-48C0-91C6-EF83CF9DFD1A}"/>
            </c:ext>
          </c:extLst>
        </c:ser>
        <c:ser>
          <c:idx val="1"/>
          <c:order val="1"/>
          <c:tx>
            <c:v>Base reforecast</c:v>
          </c:tx>
          <c:spPr>
            <a:solidFill>
              <a:srgbClr val="2E5E8C"/>
            </a:solidFill>
            <a:ln>
              <a:noFill/>
            </a:ln>
            <a:effectLst/>
            <a:extLst>
              <a:ext uri="{91240B29-F687-4F45-9708-019B960494DF}">
                <a14:hiddenLine xmlns:a14="http://schemas.microsoft.com/office/drawing/2010/main">
                  <a:noFill/>
                </a14:hiddenLine>
              </a:ext>
            </a:extLst>
          </c:spPr>
          <c:invertIfNegative val="0"/>
          <c:dLbls>
            <c:numFmt formatCode="&quot;$&quot;#,##0.0,,&quot;M&quot;;\(&quot;$&quot;#,##0.0,,&quot;M&quot;\)" sourceLinked="0"/>
            <c:spPr>
              <a:noFill/>
              <a:ln>
                <a:noFill/>
              </a:ln>
              <a:effectLst/>
            </c:spPr>
            <c:txPr>
              <a:bodyPr wrap="square" lIns="38100" tIns="19050" rIns="38100" bIns="19050" anchor="ctr">
                <a:spAutoFit/>
              </a:bodyPr>
              <a:lstStyle/>
              <a:p>
                <a:pPr>
                  <a:defRPr sz="850" b="1">
                    <a:solidFill>
                      <a:srgbClr val="262626"/>
                    </a:solidFill>
                    <a:latin typeface="Calibri"/>
                    <a:ea typeface="Calibri"/>
                    <a:cs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Chart_Data!$A$216:$A$218</c:f>
              <c:strCache>
                <c:ptCount val="3"/>
                <c:pt idx="0">
                  <c:v>Gross Profit</c:v>
                </c:pt>
                <c:pt idx="1">
                  <c:v>Total OpEx</c:v>
                </c:pt>
                <c:pt idx="2">
                  <c:v>Operating Income</c:v>
                </c:pt>
              </c:strCache>
            </c:strRef>
          </c:cat>
          <c:val>
            <c:numRef>
              <c:f>Chart_Data!$C$216:$C$218</c:f>
              <c:numCache>
                <c:formatCode>General</c:formatCode>
                <c:ptCount val="3"/>
                <c:pt idx="0">
                  <c:v>25694771.976115659</c:v>
                </c:pt>
                <c:pt idx="1">
                  <c:v>31408461.147246901</c:v>
                </c:pt>
                <c:pt idx="2">
                  <c:v>-5713689.1711312355</c:v>
                </c:pt>
              </c:numCache>
            </c:numRef>
          </c:val>
          <c:extLst>
            <c:ext xmlns:c16="http://schemas.microsoft.com/office/drawing/2014/chart" uri="{C3380CC4-5D6E-409C-BE32-E72D297353CC}">
              <c16:uniqueId val="{00000002-D99C-48C0-91C6-EF83CF9DFD1A}"/>
            </c:ext>
          </c:extLst>
        </c:ser>
        <c:dLbls>
          <c:showLegendKey val="0"/>
          <c:showVal val="0"/>
          <c:showCatName val="0"/>
          <c:showSerName val="0"/>
          <c:showPercent val="0"/>
          <c:showBubbleSize val="0"/>
        </c:dLbls>
        <c:gapWidth val="60"/>
        <c:overlap val="-10"/>
        <c:axId val="1856692784"/>
        <c:axId val="1767046384"/>
      </c:barChart>
      <c:catAx>
        <c:axId val="1856692784"/>
        <c:scaling>
          <c:orientation val="minMax"/>
        </c:scaling>
        <c:delete val="0"/>
        <c:axPos val="b"/>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767046384"/>
        <c:crosses val="autoZero"/>
        <c:auto val="1"/>
        <c:lblAlgn val="ctr"/>
        <c:lblOffset val="100"/>
        <c:noMultiLvlLbl val="0"/>
      </c:catAx>
      <c:valAx>
        <c:axId val="1767046384"/>
        <c:scaling>
          <c:orientation val="minMax"/>
        </c:scaling>
        <c:delete val="0"/>
        <c:axPos val="l"/>
        <c:majorGridlines>
          <c:spPr>
            <a:ln w="9525">
              <a:solidFill>
                <a:srgbClr val="E8E8E8"/>
              </a:solidFill>
            </a:ln>
          </c:spPr>
        </c:majorGridlines>
        <c:numFmt formatCode="&quot;$&quot;#,##0,,&quot;M&quot;"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856692784"/>
        <c:crosses val="autoZero"/>
        <c:crossBetween val="between"/>
        <c:majorUnit val="100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Billings</c:v>
          </c:tx>
          <c:spPr>
            <a:solidFill>
              <a:srgbClr val="9DB9D2"/>
            </a:solidFill>
            <a:ln>
              <a:noFill/>
            </a:ln>
            <a:effectLst/>
            <a:extLst>
              <a:ext uri="{91240B29-F687-4F45-9708-019B960494DF}">
                <a14:hiddenLine xmlns:a14="http://schemas.microsoft.com/office/drawing/2010/main">
                  <a:noFill/>
                </a14:hiddenLine>
              </a:ext>
            </a:extLst>
          </c:spPr>
          <c:invertIfNegative val="0"/>
          <c:cat>
            <c:strRef>
              <c:f>Accounting!$B$46:$B$55</c:f>
              <c:strCache>
                <c:ptCount val="10"/>
                <c:pt idx="0">
                  <c:v>2024Q1</c:v>
                </c:pt>
                <c:pt idx="1">
                  <c:v>2024Q2</c:v>
                </c:pt>
                <c:pt idx="2">
                  <c:v>2024Q3</c:v>
                </c:pt>
                <c:pt idx="3">
                  <c:v>2024Q4</c:v>
                </c:pt>
                <c:pt idx="4">
                  <c:v>2025Q1</c:v>
                </c:pt>
                <c:pt idx="5">
                  <c:v>2025Q2</c:v>
                </c:pt>
                <c:pt idx="6">
                  <c:v>2025Q3</c:v>
                </c:pt>
                <c:pt idx="7">
                  <c:v>2025Q4</c:v>
                </c:pt>
                <c:pt idx="8">
                  <c:v>2026Q1</c:v>
                </c:pt>
                <c:pt idx="9">
                  <c:v>2026Q2</c:v>
                </c:pt>
              </c:strCache>
            </c:strRef>
          </c:cat>
          <c:val>
            <c:numRef>
              <c:f>Accounting!$D$46:$D$55</c:f>
              <c:numCache>
                <c:formatCode>#,##0;\(#,##0\);"-"</c:formatCode>
                <c:ptCount val="10"/>
                <c:pt idx="0">
                  <c:v>6718668.0499999998</c:v>
                </c:pt>
                <c:pt idx="1">
                  <c:v>5136850.4000000004</c:v>
                </c:pt>
                <c:pt idx="2">
                  <c:v>4532895.17</c:v>
                </c:pt>
                <c:pt idx="3">
                  <c:v>6523735.2999999998</c:v>
                </c:pt>
                <c:pt idx="4">
                  <c:v>8222840.0499999998</c:v>
                </c:pt>
                <c:pt idx="5">
                  <c:v>6522222.8899999987</c:v>
                </c:pt>
                <c:pt idx="6">
                  <c:v>5664441.8100000015</c:v>
                </c:pt>
                <c:pt idx="7">
                  <c:v>8581803.1400000006</c:v>
                </c:pt>
                <c:pt idx="8">
                  <c:v>10747789.109999999</c:v>
                </c:pt>
                <c:pt idx="9">
                  <c:v>7067885.2600000016</c:v>
                </c:pt>
              </c:numCache>
            </c:numRef>
          </c:val>
          <c:extLst>
            <c:ext xmlns:c16="http://schemas.microsoft.com/office/drawing/2014/chart" uri="{C3380CC4-5D6E-409C-BE32-E72D297353CC}">
              <c16:uniqueId val="{00000001-2BF2-484F-B29D-33DD0BF636E0}"/>
            </c:ext>
          </c:extLst>
        </c:ser>
        <c:ser>
          <c:idx val="1"/>
          <c:order val="1"/>
          <c:tx>
            <c:v>Revenue recognised</c:v>
          </c:tx>
          <c:spPr>
            <a:solidFill>
              <a:srgbClr val="A6A6A6"/>
            </a:solidFill>
            <a:ln>
              <a:noFill/>
            </a:ln>
            <a:effectLst/>
            <a:extLst>
              <a:ext uri="{91240B29-F687-4F45-9708-019B960494DF}">
                <a14:hiddenLine xmlns:a14="http://schemas.microsoft.com/office/drawing/2010/main">
                  <a:noFill/>
                </a14:hiddenLine>
              </a:ext>
            </a:extLst>
          </c:spPr>
          <c:invertIfNegative val="0"/>
          <c:cat>
            <c:strRef>
              <c:f>Accounting!$B$46:$B$55</c:f>
              <c:strCache>
                <c:ptCount val="10"/>
                <c:pt idx="0">
                  <c:v>2024Q1</c:v>
                </c:pt>
                <c:pt idx="1">
                  <c:v>2024Q2</c:v>
                </c:pt>
                <c:pt idx="2">
                  <c:v>2024Q3</c:v>
                </c:pt>
                <c:pt idx="3">
                  <c:v>2024Q4</c:v>
                </c:pt>
                <c:pt idx="4">
                  <c:v>2025Q1</c:v>
                </c:pt>
                <c:pt idx="5">
                  <c:v>2025Q2</c:v>
                </c:pt>
                <c:pt idx="6">
                  <c:v>2025Q3</c:v>
                </c:pt>
                <c:pt idx="7">
                  <c:v>2025Q4</c:v>
                </c:pt>
                <c:pt idx="8">
                  <c:v>2026Q1</c:v>
                </c:pt>
                <c:pt idx="9">
                  <c:v>2026Q2</c:v>
                </c:pt>
              </c:strCache>
            </c:strRef>
          </c:cat>
          <c:val>
            <c:numRef>
              <c:f>Accounting!$E$46:$E$55</c:f>
              <c:numCache>
                <c:formatCode>#,##0;\(#,##0\);"-"</c:formatCode>
                <c:ptCount val="10"/>
                <c:pt idx="0">
                  <c:v>4854374.6999999983</c:v>
                </c:pt>
                <c:pt idx="1">
                  <c:v>5254093.74</c:v>
                </c:pt>
                <c:pt idx="2">
                  <c:v>5533165.25</c:v>
                </c:pt>
                <c:pt idx="3">
                  <c:v>5879791.5600000015</c:v>
                </c:pt>
                <c:pt idx="4">
                  <c:v>6310786.96</c:v>
                </c:pt>
                <c:pt idx="5">
                  <c:v>6679879.25</c:v>
                </c:pt>
                <c:pt idx="6">
                  <c:v>6948279.0800000001</c:v>
                </c:pt>
                <c:pt idx="7">
                  <c:v>7360834.8000000007</c:v>
                </c:pt>
                <c:pt idx="8">
                  <c:v>7633041.9699999997</c:v>
                </c:pt>
                <c:pt idx="9">
                  <c:v>8079773.71</c:v>
                </c:pt>
              </c:numCache>
            </c:numRef>
          </c:val>
          <c:extLst>
            <c:ext xmlns:c16="http://schemas.microsoft.com/office/drawing/2014/chart" uri="{C3380CC4-5D6E-409C-BE32-E72D297353CC}">
              <c16:uniqueId val="{00000002-2BF2-484F-B29D-33DD0BF636E0}"/>
            </c:ext>
          </c:extLst>
        </c:ser>
        <c:dLbls>
          <c:showLegendKey val="0"/>
          <c:showVal val="0"/>
          <c:showCatName val="0"/>
          <c:showSerName val="0"/>
          <c:showPercent val="0"/>
          <c:showBubbleSize val="0"/>
        </c:dLbls>
        <c:gapWidth val="55"/>
        <c:axId val="1896777168"/>
        <c:axId val="1767014704"/>
      </c:barChart>
      <c:lineChart>
        <c:grouping val="standard"/>
        <c:varyColors val="0"/>
        <c:ser>
          <c:idx val="2"/>
          <c:order val="2"/>
          <c:tx>
            <c:v>Ending deferred revenue</c:v>
          </c:tx>
          <c:spPr>
            <a:ln w="38100">
              <a:solidFill>
                <a:srgbClr val="1F3864"/>
              </a:solidFill>
            </a:ln>
          </c:spPr>
          <c:marker>
            <c:symbol val="circle"/>
            <c:size val="5"/>
            <c:spPr>
              <a:noFill/>
              <a:ln w="38100">
                <a:solidFill>
                  <a:srgbClr val="1F3864"/>
                </a:solidFill>
              </a:ln>
              <a:extLst>
                <a:ext uri="{909E8E84-426E-40DD-AFC4-6F175D3DCCD1}">
                  <a14:hiddenFill xmlns:a14="http://schemas.microsoft.com/office/drawing/2010/main">
                    <a:solidFill>
                      <a:srgbClr val="9BBB59"/>
                    </a:solidFill>
                  </a14:hiddenFill>
                </a:ext>
              </a:extLst>
            </c:spPr>
          </c:marker>
          <c:dLbls>
            <c:dLbl>
              <c:idx val="9"/>
              <c:numFmt formatCode="&quot;$&quot;#,##0.0,,&quot;M&quot;" sourceLinked="0"/>
              <c:spPr>
                <a:noFill/>
                <a:ln>
                  <a:noFill/>
                </a:ln>
                <a:effectLs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BF2-484F-B29D-33DD0BF636E0}"/>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1"/>
              </c:ext>
            </c:extLst>
          </c:dLbls>
          <c:cat>
            <c:strRef>
              <c:f>Accounting!$B$46:$B$55</c:f>
              <c:strCache>
                <c:ptCount val="10"/>
                <c:pt idx="0">
                  <c:v>2024Q1</c:v>
                </c:pt>
                <c:pt idx="1">
                  <c:v>2024Q2</c:v>
                </c:pt>
                <c:pt idx="2">
                  <c:v>2024Q3</c:v>
                </c:pt>
                <c:pt idx="3">
                  <c:v>2024Q4</c:v>
                </c:pt>
                <c:pt idx="4">
                  <c:v>2025Q1</c:v>
                </c:pt>
                <c:pt idx="5">
                  <c:v>2025Q2</c:v>
                </c:pt>
                <c:pt idx="6">
                  <c:v>2025Q3</c:v>
                </c:pt>
                <c:pt idx="7">
                  <c:v>2025Q4</c:v>
                </c:pt>
                <c:pt idx="8">
                  <c:v>2026Q1</c:v>
                </c:pt>
                <c:pt idx="9">
                  <c:v>2026Q2</c:v>
                </c:pt>
              </c:strCache>
            </c:strRef>
          </c:cat>
          <c:val>
            <c:numRef>
              <c:f>Accounting!$G$46:$G$55</c:f>
              <c:numCache>
                <c:formatCode>#,##0;\(#,##0\);"-"</c:formatCode>
                <c:ptCount val="10"/>
                <c:pt idx="0">
                  <c:v>7135686.9700000007</c:v>
                </c:pt>
                <c:pt idx="1">
                  <c:v>7020538.8899999978</c:v>
                </c:pt>
                <c:pt idx="2">
                  <c:v>6029572.379999998</c:v>
                </c:pt>
                <c:pt idx="3">
                  <c:v>6697503.5299999993</c:v>
                </c:pt>
                <c:pt idx="4">
                  <c:v>8622826.3899999987</c:v>
                </c:pt>
                <c:pt idx="5">
                  <c:v>8477772.129999999</c:v>
                </c:pt>
                <c:pt idx="6">
                  <c:v>7199123.5900000008</c:v>
                </c:pt>
                <c:pt idx="7">
                  <c:v>8435939.3599999975</c:v>
                </c:pt>
                <c:pt idx="8">
                  <c:v>11557796.34</c:v>
                </c:pt>
                <c:pt idx="9">
                  <c:v>10563773.5</c:v>
                </c:pt>
              </c:numCache>
            </c:numRef>
          </c:val>
          <c:smooth val="0"/>
          <c:extLst>
            <c:ext xmlns:c16="http://schemas.microsoft.com/office/drawing/2014/chart" uri="{C3380CC4-5D6E-409C-BE32-E72D297353CC}">
              <c16:uniqueId val="{00000003-2BF2-484F-B29D-33DD0BF636E0}"/>
            </c:ext>
          </c:extLst>
        </c:ser>
        <c:dLbls>
          <c:showLegendKey val="0"/>
          <c:showVal val="0"/>
          <c:showCatName val="0"/>
          <c:showSerName val="0"/>
          <c:showPercent val="0"/>
          <c:showBubbleSize val="0"/>
        </c:dLbls>
        <c:marker val="1"/>
        <c:smooth val="0"/>
        <c:axId val="1896777168"/>
        <c:axId val="1767014704"/>
      </c:lineChart>
      <c:catAx>
        <c:axId val="1896777168"/>
        <c:scaling>
          <c:orientation val="minMax"/>
        </c:scaling>
        <c:delete val="0"/>
        <c:axPos val="b"/>
        <c:numFmt formatCode="General" sourceLinked="1"/>
        <c:majorTickMark val="out"/>
        <c:minorTickMark val="none"/>
        <c:tickLblPos val="low"/>
        <c:spPr>
          <a:ln w="9525">
            <a:solidFill>
              <a:srgbClr val="BFBFBF"/>
            </a:solidFill>
          </a:ln>
        </c:spPr>
        <c:txPr>
          <a:bodyPr/>
          <a:lstStyle/>
          <a:p>
            <a:pPr>
              <a:defRPr sz="950">
                <a:solidFill>
                  <a:srgbClr val="595959"/>
                </a:solidFill>
                <a:latin typeface="Calibri"/>
                <a:ea typeface="Calibri"/>
                <a:cs typeface="Calibri"/>
              </a:defRPr>
            </a:pPr>
            <a:endParaRPr lang="en-US"/>
          </a:p>
        </c:txPr>
        <c:crossAx val="1767014704"/>
        <c:crosses val="autoZero"/>
        <c:auto val="1"/>
        <c:lblAlgn val="ctr"/>
        <c:lblOffset val="100"/>
        <c:noMultiLvlLbl val="0"/>
      </c:catAx>
      <c:valAx>
        <c:axId val="1767014704"/>
        <c:scaling>
          <c:orientation val="minMax"/>
        </c:scaling>
        <c:delete val="0"/>
        <c:axPos val="l"/>
        <c:majorGridlines>
          <c:spPr>
            <a:ln w="9525">
              <a:solidFill>
                <a:srgbClr val="E8E8E8"/>
              </a:solidFill>
            </a:ln>
          </c:spPr>
        </c:majorGridlines>
        <c:numFmt formatCode="&quot;$&quot;#,##0,,&quot;M&quot;" sourceLinked="0"/>
        <c:majorTickMark val="out"/>
        <c:minorTickMark val="none"/>
        <c:tickLblPos val="nextTo"/>
        <c:spPr>
          <a:ln w="9525">
            <a:solidFill>
              <a:srgbClr val="BFBFBF"/>
            </a:solidFill>
          </a:ln>
        </c:spPr>
        <c:txPr>
          <a:bodyPr/>
          <a:lstStyle/>
          <a:p>
            <a:pPr>
              <a:defRPr sz="950">
                <a:solidFill>
                  <a:srgbClr val="595959"/>
                </a:solidFill>
                <a:latin typeface="Calibri"/>
                <a:ea typeface="Calibri"/>
                <a:cs typeface="Calibri"/>
              </a:defRPr>
            </a:pPr>
            <a:endParaRPr lang="en-US"/>
          </a:p>
        </c:txPr>
        <c:crossAx val="1896777168"/>
        <c:crosses val="autoZero"/>
        <c:crossBetween val="between"/>
        <c:majorUnit val="300000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legend>
      <c:legendPos val="b"/>
      <c:overlay val="0"/>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txPr>
        <a:bodyPr/>
        <a:lstStyle/>
        <a:p>
          <a:pPr>
            <a:defRPr sz="950">
              <a:solidFill>
                <a:srgbClr val="595959"/>
              </a:solidFill>
              <a:latin typeface="Calibri"/>
              <a:ea typeface="Calibri"/>
              <a:cs typeface="Calibr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F5F9"/>
    </a:solidFill>
    <a:ln w="9525" cap="flat" cmpd="sng" algn="ctr">
      <a:solidFill>
        <a:srgbClr val="E1E8F0"/>
      </a:solidFill>
      <a:prstDash val="solid"/>
      <a:round/>
    </a:ln>
    <a:effectLst/>
  </c:spPr>
  <c:txPr>
    <a:bodyPr/>
    <a:lstStyle/>
    <a:p>
      <a:pPr>
        <a:defRPr>
          <a:latin typeface="Calibri"/>
          <a:ea typeface="Calibri"/>
          <a:cs typeface="Calibri"/>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5" Type="http://schemas.openxmlformats.org/officeDocument/2006/relationships/chart" Target="../charts/chart14.xml"/><Relationship Id="rId4"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11</xdr:col>
      <xdr:colOff>0</xdr:colOff>
      <xdr:row>29</xdr:row>
      <xdr:rowOff>0</xdr:rowOff>
    </xdr:to>
    <xdr:graphicFrame macro="">
      <xdr:nvGraphicFramePr>
        <xdr:cNvPr id="3" name="ExecTrajectory">
          <a:extLst>
            <a:ext uri="{FF2B5EF4-FFF2-40B4-BE49-F238E27FC236}">
              <a16:creationId xmlns:a16="http://schemas.microsoft.com/office/drawing/2014/main" id="{CB7B0BF0-165A-58A9-4D7B-27A33BE93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31</xdr:row>
      <xdr:rowOff>0</xdr:rowOff>
    </xdr:from>
    <xdr:to>
      <xdr:col>7</xdr:col>
      <xdr:colOff>0</xdr:colOff>
      <xdr:row>41</xdr:row>
      <xdr:rowOff>0</xdr:rowOff>
    </xdr:to>
    <xdr:graphicFrame macro="">
      <xdr:nvGraphicFramePr>
        <xdr:cNvPr id="2" name="ExecBridge">
          <a:extLst>
            <a:ext uri="{FF2B5EF4-FFF2-40B4-BE49-F238E27FC236}">
              <a16:creationId xmlns:a16="http://schemas.microsoft.com/office/drawing/2014/main" id="{78F5BC51-AF2E-1878-616D-98B9F3FEB1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31</xdr:row>
      <xdr:rowOff>0</xdr:rowOff>
    </xdr:from>
    <xdr:to>
      <xdr:col>11</xdr:col>
      <xdr:colOff>0</xdr:colOff>
      <xdr:row>41</xdr:row>
      <xdr:rowOff>0</xdr:rowOff>
    </xdr:to>
    <xdr:graphicFrame macro="">
      <xdr:nvGraphicFramePr>
        <xdr:cNvPr id="5" name="ExecRunway">
          <a:extLst>
            <a:ext uri="{FF2B5EF4-FFF2-40B4-BE49-F238E27FC236}">
              <a16:creationId xmlns:a16="http://schemas.microsoft.com/office/drawing/2014/main" id="{C79467C8-3A56-6813-3B00-C3E5D4077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0.79376</cdr:x>
      <cdr:y>0.27983</cdr:y>
    </cdr:from>
    <cdr:to>
      <cdr:x>0.79376</cdr:x>
      <cdr:y>0.92667</cdr:y>
    </cdr:to>
    <cdr:cxnSp macro="">
      <cdr:nvCxnSpPr>
        <cdr:cNvPr id="2" name="FloorTick">
          <a:extLst xmlns:a="http://schemas.openxmlformats.org/drawingml/2006/main">
            <a:ext uri="{FF2B5EF4-FFF2-40B4-BE49-F238E27FC236}">
              <a16:creationId xmlns:a16="http://schemas.microsoft.com/office/drawing/2014/main" id="{A0E454AB-5242-E525-BC00-7B4ED831C0ED}"/>
            </a:ext>
          </a:extLst>
        </cdr:cNvPr>
        <cdr:cNvCxnSpPr/>
      </cdr:nvCxnSpPr>
      <cdr:spPr>
        <a:xfrm xmlns:a="http://schemas.openxmlformats.org/drawingml/2006/main">
          <a:off x="3145195" y="533083"/>
          <a:ext cx="0" cy="1232217"/>
        </a:xfrm>
        <a:prstGeom xmlns:a="http://schemas.openxmlformats.org/drawingml/2006/main" prst="line">
          <a:avLst/>
        </a:prstGeom>
        <a:ln xmlns:a="http://schemas.openxmlformats.org/drawingml/2006/main" w="15875">
          <a:solidFill>
            <a:srgbClr val="808080"/>
          </a:solidFill>
          <a:prstDash val="dash"/>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8</xdr:row>
      <xdr:rowOff>0</xdr:rowOff>
    </xdr:from>
    <xdr:to>
      <xdr:col>10</xdr:col>
      <xdr:colOff>0</xdr:colOff>
      <xdr:row>24</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102</xdr:row>
      <xdr:rowOff>0</xdr:rowOff>
    </xdr:from>
    <xdr:to>
      <xdr:col>10</xdr:col>
      <xdr:colOff>0</xdr:colOff>
      <xdr:row>115</xdr:row>
      <xdr:rowOff>0</xdr:rowOff>
    </xdr:to>
    <xdr:graphicFrame macro="">
      <xdr:nvGraphicFramePr>
        <xdr:cNvPr id="3" name="RenewalBook">
          <a:extLst>
            <a:ext uri="{FF2B5EF4-FFF2-40B4-BE49-F238E27FC236}">
              <a16:creationId xmlns:a16="http://schemas.microsoft.com/office/drawing/2014/main" id="{0624E7FA-43DF-8125-21EE-A2E0FF7F66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58</xdr:row>
      <xdr:rowOff>0</xdr:rowOff>
    </xdr:from>
    <xdr:to>
      <xdr:col>10</xdr:col>
      <xdr:colOff>0</xdr:colOff>
      <xdr:row>72</xdr:row>
      <xdr:rowOff>0</xdr:rowOff>
    </xdr:to>
    <xdr:graphicFrame macro="">
      <xdr:nvGraphicFramePr>
        <xdr:cNvPr id="4" name="RetentionTrend">
          <a:extLst>
            <a:ext uri="{FF2B5EF4-FFF2-40B4-BE49-F238E27FC236}">
              <a16:creationId xmlns:a16="http://schemas.microsoft.com/office/drawing/2014/main" id="{EA664EF6-67A6-8DE1-362D-70B89DE87B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8</xdr:row>
      <xdr:rowOff>0</xdr:rowOff>
    </xdr:from>
    <xdr:to>
      <xdr:col>5</xdr:col>
      <xdr:colOff>0</xdr:colOff>
      <xdr:row>22</xdr:row>
      <xdr:rowOff>0</xdr:rowOff>
    </xdr:to>
    <xdr:graphicFrame macro="">
      <xdr:nvGraphicFramePr>
        <xdr:cNvPr id="3" name="ScenarioLevers">
          <a:extLst>
            <a:ext uri="{FF2B5EF4-FFF2-40B4-BE49-F238E27FC236}">
              <a16:creationId xmlns:a16="http://schemas.microsoft.com/office/drawing/2014/main" id="{B8657F05-7D37-6A94-508F-EDBCA378D4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171450</xdr:colOff>
      <xdr:row>5</xdr:row>
      <xdr:rowOff>228600</xdr:rowOff>
    </xdr:from>
    <xdr:to>
      <xdr:col>9</xdr:col>
      <xdr:colOff>1014506</xdr:colOff>
      <xdr:row>21</xdr:row>
      <xdr:rowOff>138206</xdr:rowOff>
    </xdr:to>
    <xdr:graphicFrame macro="">
      <xdr:nvGraphicFramePr>
        <xdr:cNvPr id="2" name="CashBalance">
          <a:extLst>
            <a:ext uri="{FF2B5EF4-FFF2-40B4-BE49-F238E27FC236}">
              <a16:creationId xmlns:a16="http://schemas.microsoft.com/office/drawing/2014/main" id="{239D1CCE-01DB-7791-6C6E-30E322DAE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55</xdr:row>
      <xdr:rowOff>249891</xdr:rowOff>
    </xdr:from>
    <xdr:to>
      <xdr:col>9</xdr:col>
      <xdr:colOff>1014506</xdr:colOff>
      <xdr:row>69</xdr:row>
      <xdr:rowOff>10832</xdr:rowOff>
    </xdr:to>
    <xdr:graphicFrame macro="">
      <xdr:nvGraphicFramePr>
        <xdr:cNvPr id="3" name="ProfitToCash">
          <a:extLst>
            <a:ext uri="{FF2B5EF4-FFF2-40B4-BE49-F238E27FC236}">
              <a16:creationId xmlns:a16="http://schemas.microsoft.com/office/drawing/2014/main" id="{35C584F2-2B40-97B7-7A5A-8E8BFB72B6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55</xdr:row>
      <xdr:rowOff>159456</xdr:rowOff>
    </xdr:from>
    <xdr:to>
      <xdr:col>7</xdr:col>
      <xdr:colOff>1156406</xdr:colOff>
      <xdr:row>70</xdr:row>
      <xdr:rowOff>159456</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87</xdr:row>
      <xdr:rowOff>150989</xdr:rowOff>
    </xdr:from>
    <xdr:to>
      <xdr:col>7</xdr:col>
      <xdr:colOff>1156406</xdr:colOff>
      <xdr:row>102</xdr:row>
      <xdr:rowOff>150989</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117</xdr:row>
      <xdr:rowOff>142522</xdr:rowOff>
    </xdr:from>
    <xdr:to>
      <xdr:col>7</xdr:col>
      <xdr:colOff>1156406</xdr:colOff>
      <xdr:row>132</xdr:row>
      <xdr:rowOff>142522</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151</xdr:row>
      <xdr:rowOff>134056</xdr:rowOff>
    </xdr:from>
    <xdr:to>
      <xdr:col>7</xdr:col>
      <xdr:colOff>1156406</xdr:colOff>
      <xdr:row>166</xdr:row>
      <xdr:rowOff>134056</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22</xdr:row>
      <xdr:rowOff>170744</xdr:rowOff>
    </xdr:from>
    <xdr:to>
      <xdr:col>7</xdr:col>
      <xdr:colOff>1156406</xdr:colOff>
      <xdr:row>37</xdr:row>
      <xdr:rowOff>170744</xdr:rowOff>
    </xdr:to>
    <xdr:graphicFrame macro="">
      <xdr:nvGraphicFramePr>
        <xdr:cNvPr id="6" name="VarianceSummary">
          <a:extLst>
            <a:ext uri="{FF2B5EF4-FFF2-40B4-BE49-F238E27FC236}">
              <a16:creationId xmlns:a16="http://schemas.microsoft.com/office/drawing/2014/main" id="{EA82D92C-6107-46BB-BF0F-759A5DB6CB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8</xdr:row>
      <xdr:rowOff>0</xdr:rowOff>
    </xdr:from>
    <xdr:to>
      <xdr:col>7</xdr:col>
      <xdr:colOff>0</xdr:colOff>
      <xdr:row>24</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73</xdr:row>
      <xdr:rowOff>0</xdr:rowOff>
    </xdr:from>
    <xdr:to>
      <xdr:col>7</xdr:col>
      <xdr:colOff>0</xdr:colOff>
      <xdr:row>86</xdr:row>
      <xdr:rowOff>0</xdr:rowOff>
    </xdr:to>
    <xdr:graphicFrame macro="">
      <xdr:nvGraphicFramePr>
        <xdr:cNvPr id="3" name="MagicNumber">
          <a:extLst>
            <a:ext uri="{FF2B5EF4-FFF2-40B4-BE49-F238E27FC236}">
              <a16:creationId xmlns:a16="http://schemas.microsoft.com/office/drawing/2014/main" id="{14514776-D680-6F4B-29A0-13B4D74ECB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24</xdr:row>
      <xdr:rowOff>0</xdr:rowOff>
    </xdr:from>
    <xdr:to>
      <xdr:col>7</xdr:col>
      <xdr:colOff>0</xdr:colOff>
      <xdr:row>39</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xdr:col>
      <xdr:colOff>0</xdr:colOff>
      <xdr:row>7</xdr:row>
      <xdr:rowOff>377657</xdr:rowOff>
    </xdr:from>
    <xdr:to>
      <xdr:col>9</xdr:col>
      <xdr:colOff>899026</xdr:colOff>
      <xdr:row>21</xdr:row>
      <xdr:rowOff>143710</xdr:rowOff>
    </xdr:to>
    <xdr:graphicFrame macro="">
      <xdr:nvGraphicFramePr>
        <xdr:cNvPr id="2" name="BudgetVsBase">
          <a:extLst>
            <a:ext uri="{FF2B5EF4-FFF2-40B4-BE49-F238E27FC236}">
              <a16:creationId xmlns:a16="http://schemas.microsoft.com/office/drawing/2014/main" id="{1CE9A019-AB67-73B2-0C05-B90DCEE567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27</xdr:row>
      <xdr:rowOff>369710</xdr:rowOff>
    </xdr:from>
    <xdr:to>
      <xdr:col>8</xdr:col>
      <xdr:colOff>900994</xdr:colOff>
      <xdr:row>41</xdr:row>
      <xdr:rowOff>179210</xdr:rowOff>
    </xdr:to>
    <xdr:graphicFrame macro="">
      <xdr:nvGraphicFramePr>
        <xdr:cNvPr id="2" name="DeferredRevenue">
          <a:extLst>
            <a:ext uri="{FF2B5EF4-FFF2-40B4-BE49-F238E27FC236}">
              <a16:creationId xmlns:a16="http://schemas.microsoft.com/office/drawing/2014/main" id="{0FE5789C-8C58-1C86-FF3B-A83A4C43B4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8233368-3B7D-489A-BAEB-5ABD7DD3433C}" name="tbl_renewal_monthly" displayName="tbl_renewal_monthly" ref="A4:E10" totalsRowShown="0" headerRowDxfId="57">
  <tableColumns count="5">
    <tableColumn id="1" xr3:uid="{16E56682-6AF5-4C4F-862C-B1A5839D4093}" name="month_label" dataDxfId="56"/>
    <tableColumn id="2" xr3:uid="{53B2F0E9-3B25-43C4-8F54-D11BAC608650}" name="SMB" dataDxfId="55"/>
    <tableColumn id="3" xr3:uid="{4B7AF0FB-F8EF-4D57-8514-1F01CDA59B13}" name="Mid-Market" dataDxfId="54"/>
    <tableColumn id="4" xr3:uid="{C504CA5E-154A-4E1C-9648-9605E750CC99}" name="Enterprise" dataDxfId="53"/>
    <tableColumn id="5" xr3:uid="{A9D7524B-4CAE-4CC9-B359-54949815FF5B}" name="Total" dataDxfId="5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6764446-0DB0-412C-B1B6-666DC4AC9127}" name="tbl_cash_schedule" displayName="tbl_cash_schedule" ref="H4:M34" totalsRowShown="0" headerRowDxfId="51">
  <tableColumns count="6">
    <tableColumn id="1" xr3:uid="{77EA249C-A1F3-4E7B-A493-CA998F771E11}" name="key"/>
    <tableColumn id="2" xr3:uid="{3322B225-4063-4B97-931A-B4FCF2DFCC92}" name="path"/>
    <tableColumn id="3" xr3:uid="{7DABEA24-9A7C-4968-AF82-7F893A70B9A0}" name="month_label" dataDxfId="50"/>
    <tableColumn id="4" xr3:uid="{46455D5E-7177-4CF3-9B6A-75770CFDA303}" name="collections" dataDxfId="49"/>
    <tableColumn id="5" xr3:uid="{7ADF9F9F-B7C5-44AC-B85E-F9248D82B4FE}" name="cash_operating_outflows" dataDxfId="48"/>
    <tableColumn id="6" xr3:uid="{56764A2E-6F6A-4A1B-BD85-A3C42D792813}" name="capex" dataDxfId="4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controls" displayName="tbl_controls" ref="B16:F22" headerRowDxfId="46" dataDxfId="45" totalsRowDxfId="44">
  <tableColumns count="5">
    <tableColumn id="2" xr3:uid="{00000000-0010-0000-0000-000002000000}" name="Control" dataDxfId="43"/>
    <tableColumn id="3" xr3:uid="{00000000-0010-0000-0000-000003000000}" name="Phase" dataDxfId="42"/>
    <tableColumn id="4" xr3:uid="{00000000-0010-0000-0000-000004000000}" name="What it enforces" dataDxfId="41"/>
    <tableColumn id="5" xr3:uid="{00000000-0010-0000-0000-000005000000}" name="Violations" dataDxfId="40"/>
    <tableColumn id="6" xr3:uid="{00000000-0010-0000-0000-000006000000}" name="Status" dataDxfId="39"/>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arr_monthly" displayName="tbl_arr_monthly" ref="A1:L97">
  <autoFilter ref="A1:L97" xr:uid="{00000000-0009-0000-0100-000002000000}"/>
  <tableColumns count="12">
    <tableColumn id="1" xr3:uid="{00000000-0010-0000-0100-000001000000}" name="month_end_date"/>
    <tableColumn id="2" xr3:uid="{00000000-0010-0000-0100-000002000000}" name="month_label"/>
    <tableColumn id="3" xr3:uid="{00000000-0010-0000-0100-000003000000}" name="segment"/>
    <tableColumn id="4" xr3:uid="{00000000-0010-0000-0100-000004000000}" name="period_type"/>
    <tableColumn id="5" xr3:uid="{00000000-0010-0000-0100-000005000000}" name="beginning_arr"/>
    <tableColumn id="6" xr3:uid="{00000000-0010-0000-0100-000006000000}" name="new_logo_arr"/>
    <tableColumn id="7" xr3:uid="{00000000-0010-0000-0100-000007000000}" name="expansion_arr"/>
    <tableColumn id="8" xr3:uid="{00000000-0010-0000-0100-000008000000}" name="reactivation_arr"/>
    <tableColumn id="9" xr3:uid="{00000000-0010-0000-0100-000009000000}" name="contraction_arr"/>
    <tableColumn id="10" xr3:uid="{00000000-0010-0000-0100-00000A000000}" name="churn_arr"/>
    <tableColumn id="11" xr3:uid="{00000000-0010-0000-0100-00000B000000}" name="net_new_arr"/>
    <tableColumn id="12" xr3:uid="{00000000-0010-0000-0100-00000C000000}" name="ending_arr"/>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gment_arr" displayName="tbl_segment_arr" ref="O1:S5">
  <autoFilter ref="O1:S5" xr:uid="{00000000-0009-0000-0100-000003000000}"/>
  <tableColumns count="5">
    <tableColumn id="15" xr3:uid="{00000000-0010-0000-0200-00000F000000}" name="segment"/>
    <tableColumn id="16" xr3:uid="{00000000-0010-0000-0200-000010000000}" name="jun_2026_actual_arr"/>
    <tableColumn id="17" xr3:uid="{00000000-0010-0000-0200-000011000000}" name="dec_2026_base_arr"/>
    <tableColumn id="18" xr3:uid="{00000000-0010-0000-0200-000012000000}" name="h2_2026_net_new_arr"/>
    <tableColumn id="19" xr3:uid="{00000000-0010-0000-0200-000013000000}" name="share_of_dec_2026_arr"/>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tention" displayName="tbl_retention" ref="A1:H77">
  <autoFilter ref="A1:H77" xr:uid="{00000000-0009-0000-0100-000004000000}"/>
  <tableColumns count="8">
    <tableColumn id="1" xr3:uid="{00000000-0010-0000-0300-000001000000}" name="month_end_date"/>
    <tableColumn id="2" xr3:uid="{00000000-0010-0000-0300-000002000000}" name="month_label"/>
    <tableColumn id="3" xr3:uid="{00000000-0010-0000-0300-000003000000}" name="segment"/>
    <tableColumn id="4" xr3:uid="{00000000-0010-0000-0300-000004000000}" name="cohort_customers"/>
    <tableColumn id="5" xr3:uid="{00000000-0010-0000-0300-000005000000}" name="cohort_beginning_arr"/>
    <tableColumn id="6" xr3:uid="{00000000-0010-0000-0300-000006000000}" name="nrr"/>
    <tableColumn id="7" xr3:uid="{00000000-0010-0000-0300-000007000000}" name="grr"/>
    <tableColumn id="8" xr3:uid="{00000000-0010-0000-0300-000008000000}" name="logo_retention"/>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retention_trend" displayName="tbl_retention_trend" ref="K1:O20">
  <autoFilter ref="K1:O20" xr:uid="{00000000-0009-0000-0100-000005000000}"/>
  <tableColumns count="5">
    <tableColumn id="11" xr3:uid="{00000000-0010-0000-0400-00000B000000}" name="month_end_date"/>
    <tableColumn id="12" xr3:uid="{00000000-0010-0000-0400-00000C000000}" name="month_label"/>
    <tableColumn id="13" xr3:uid="{00000000-0010-0000-0400-00000D000000}" name="NRR"/>
    <tableColumn id="14" xr3:uid="{00000000-0010-0000-0400-00000E000000}" name="GRR"/>
    <tableColumn id="15" xr3:uid="{00000000-0010-0000-0400-00000F000000}" name="Logo retentio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atr" displayName="tbl_atr" ref="Q1:T25">
  <autoFilter ref="Q1:T25" xr:uid="{00000000-0009-0000-0100-000006000000}"/>
  <tableColumns count="4">
    <tableColumn id="17" xr3:uid="{00000000-0010-0000-0500-000011000000}" name="renewal_quarter"/>
    <tableColumn id="18" xr3:uid="{00000000-0010-0000-0500-000012000000}" name="segment"/>
    <tableColumn id="19" xr3:uid="{00000000-0010-0000-0500-000013000000}" name="contracts"/>
    <tableColumn id="20" xr3:uid="{00000000-0010-0000-0500-000014000000}" name="atr_arr"/>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atr_pivot" displayName="tbl_atr_pivot" ref="V1:Z7">
  <autoFilter ref="V1:Z7" xr:uid="{00000000-0009-0000-0100-000007000000}"/>
  <tableColumns count="5">
    <tableColumn id="22" xr3:uid="{00000000-0010-0000-0600-000016000000}" name="renewal_quarter"/>
    <tableColumn id="23" xr3:uid="{00000000-0010-0000-0600-000017000000}" name="SMB"/>
    <tableColumn id="24" xr3:uid="{00000000-0010-0000-0600-000018000000}" name="Mid-Market"/>
    <tableColumn id="25" xr3:uid="{00000000-0010-0000-0600-000019000000}" name="Enterprise"/>
    <tableColumn id="26" xr3:uid="{00000000-0010-0000-0600-00001A000000}" name="Total"/>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tm_capacity" displayName="tbl_gtm_capacity" ref="A1:H5">
  <autoFilter ref="A1:H5" xr:uid="{00000000-0009-0000-0100-000008000000}"/>
  <tableColumns count="8">
    <tableColumn id="1" xr3:uid="{00000000-0010-0000-0700-000001000000}" name="segment"/>
    <tableColumn id="2" xr3:uid="{00000000-0010-0000-0700-000002000000}" name="quota_carrying_reps"/>
    <tableColumn id="3" xr3:uid="{00000000-0010-0000-0700-000003000000}" name="expected_attainment"/>
    <tableColumn id="4" xr3:uid="{00000000-0010-0000-0700-000004000000}" name="new_logo_share_of_bookings"/>
    <tableColumn id="5" xr3:uid="{00000000-0010-0000-0700-000005000000}" name="theoretical_quota_capacity"/>
    <tableColumn id="6" xr3:uid="{00000000-0010-0000-0700-000006000000}" name="blended_productive_capacity"/>
    <tableColumn id="7" xr3:uid="{00000000-0010-0000-0700-000007000000}" name="new_logo_productive_capacity"/>
    <tableColumn id="8" xr3:uid="{00000000-0010-0000-0700-000008000000}" name="actual_bookings"/>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tm_constraint" displayName="tbl_gtm_constraint" ref="J1:U5">
  <autoFilter ref="J1:U5" xr:uid="{00000000-0009-0000-0100-000009000000}"/>
  <tableColumns count="12">
    <tableColumn id="10" xr3:uid="{00000000-0010-0000-0800-00000A000000}" name="segment"/>
    <tableColumn id="11" xr3:uid="{00000000-0010-0000-0800-00000B000000}" name="h2_capacity_supported_arr"/>
    <tableColumn id="12" xr3:uid="{00000000-0010-0000-0800-00000C000000}" name="h2_pipeline_supported_arr"/>
    <tableColumn id="13" xr3:uid="{00000000-0010-0000-0800-00000D000000}" name="h2_constrained_new_logo_arr"/>
    <tableColumn id="14" xr3:uid="{00000000-0010-0000-0800-00000E000000}" name="primary_binding_constraint"/>
    <tableColumn id="15" xr3:uid="{00000000-0010-0000-0800-00000F000000}" name="h2_segment_months"/>
    <tableColumn id="16" xr3:uid="{00000000-0010-0000-0800-000010000000}" name="h2_pipeline_bound_months"/>
    <tableColumn id="17" xr3:uid="{00000000-0010-0000-0800-000011000000}" name="h2_capacity_bound_months"/>
    <tableColumn id="18" xr3:uid="{00000000-0010-0000-0800-000012000000}" name="pipeline_share_of_h2_months"/>
    <tableColumn id="19" xr3:uid="{00000000-0010-0000-0800-000013000000}" name="budget_new_logo_arr"/>
    <tableColumn id="20" xr3:uid="{00000000-0010-0000-0800-000014000000}" name="base_new_logo_arr"/>
    <tableColumn id="21" xr3:uid="{00000000-0010-0000-0800-000015000000}" name="new_logo_arr_variance"/>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gtm_monthly" displayName="tbl_gtm_monthly" ref="X1:AF19">
  <autoFilter ref="X1:AF19" xr:uid="{00000000-0009-0000-0100-00000A000000}"/>
  <tableColumns count="9">
    <tableColumn id="24" xr3:uid="{00000000-0010-0000-0900-000018000000}" name="month_end_date"/>
    <tableColumn id="25" xr3:uid="{00000000-0010-0000-0900-000019000000}" name="month_label"/>
    <tableColumn id="26" xr3:uid="{00000000-0010-0000-0900-00001A000000}" name="segment"/>
    <tableColumn id="27" xr3:uid="{00000000-0010-0000-0900-00001B000000}" name="theoretical_capacity"/>
    <tableColumn id="28" xr3:uid="{00000000-0010-0000-0900-00001C000000}" name="blended_capacity"/>
    <tableColumn id="29" xr3:uid="{00000000-0010-0000-0900-00001D000000}" name="new_logo_capacity"/>
    <tableColumn id="30" xr3:uid="{00000000-0010-0000-0900-00001E000000}" name="pipeline_supported_bookings"/>
    <tableColumn id="31" xr3:uid="{00000000-0010-0000-0900-00001F000000}" name="constrained_new_logo_arr"/>
    <tableColumn id="32" xr3:uid="{00000000-0010-0000-0900-000020000000}" name="binding_constraint"/>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win_rate" displayName="tbl_win_rate" ref="AH1:AN5">
  <autoFilter ref="AH1:AN5" xr:uid="{00000000-0009-0000-0100-00000B000000}"/>
  <tableColumns count="7">
    <tableColumn id="34" xr3:uid="{00000000-0010-0000-0A00-000022000000}" name="segment"/>
    <tableColumn id="35" xr3:uid="{00000000-0010-0000-0A00-000023000000}" name="closed_won"/>
    <tableColumn id="36" xr3:uid="{00000000-0010-0000-0A00-000024000000}" name="closed_lost"/>
    <tableColumn id="37" xr3:uid="{00000000-0010-0000-0A00-000025000000}" name="win_rate"/>
    <tableColumn id="38" xr3:uid="{00000000-0010-0000-0A00-000026000000}" name="required_pipeline_per_dollar"/>
    <tableColumn id="39" xr3:uid="{00000000-0010-0000-0A00-000027000000}" name="median_sales_cycle_days"/>
    <tableColumn id="40" xr3:uid="{00000000-0010-0000-0A00-000028000000}" name="mean_sales_cycle_days"/>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unit_econ" displayName="tbl_unit_econ" ref="AP1:AX5">
  <autoFilter ref="AP1:AX5" xr:uid="{00000000-0009-0000-0100-00000C000000}"/>
  <tableColumns count="9">
    <tableColumn id="42" xr3:uid="{00000000-0010-0000-0B00-00002A000000}" name="segment"/>
    <tableColumn id="43" xr3:uid="{00000000-0010-0000-0B00-00002B000000}" name="new_logos"/>
    <tableColumn id="44" xr3:uid="{00000000-0010-0000-0B00-00002C000000}" name="new_logo_arr"/>
    <tableColumn id="45" xr3:uid="{00000000-0010-0000-0B00-00002D000000}" name="acquisition_sm_lagged"/>
    <tableColumn id="46" xr3:uid="{00000000-0010-0000-0B00-00002E000000}" name="gross_margin_pct"/>
    <tableColumn id="47" xr3:uid="{00000000-0010-0000-0B00-00002F000000}" name="new_logo_arpa"/>
    <tableColumn id="48" xr3:uid="{00000000-0010-0000-0B00-000030000000}" name="cac"/>
    <tableColumn id="49" xr3:uid="{00000000-0010-0000-0B00-000031000000}" name="cac_per_dollar_new_logo_arr"/>
    <tableColumn id="50" xr3:uid="{00000000-0010-0000-0B00-000032000000}" name="cac_payback_months"/>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sales_efficiency" displayName="tbl_sales_efficiency" ref="AZ1:BD10">
  <autoFilter ref="AZ1:BD10" xr:uid="{00000000-0009-0000-0100-00000D000000}"/>
  <tableColumns count="5">
    <tableColumn id="52" xr3:uid="{00000000-0010-0000-0C00-000034000000}" name="fiscal_quarter"/>
    <tableColumn id="53" xr3:uid="{00000000-0010-0000-0C00-000035000000}" name="net_new_arr"/>
    <tableColumn id="54" xr3:uid="{00000000-0010-0000-0C00-000036000000}" name="prior_quarter_sm"/>
    <tableColumn id="55" xr3:uid="{00000000-0010-0000-0C00-000037000000}" name="net_arr_sales_efficiency"/>
    <tableColumn id="56" xr3:uid="{00000000-0010-0000-0C00-000038000000}" name="magic_number"/>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pipeline" displayName="tbl_pipeline" ref="BF1:BJ8">
  <autoFilter ref="BF1:BJ8" xr:uid="{00000000-0009-0000-0100-00000E000000}"/>
  <tableColumns count="5">
    <tableColumn id="58" xr3:uid="{00000000-0010-0000-0D00-00003A000000}" name="expected_close_quarter"/>
    <tableColumn id="59" xr3:uid="{00000000-0010-0000-0D00-00003B000000}" name="deal_type"/>
    <tableColumn id="60" xr3:uid="{00000000-0010-0000-0D00-00003C000000}" name="opportunities"/>
    <tableColumn id="61" xr3:uid="{00000000-0010-0000-0D00-00003D000000}" name="unweighted_acv"/>
    <tableColumn id="62" xr3:uid="{00000000-0010-0000-0D00-00003E000000}" name="weighted_acv"/>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pnl_summary" displayName="tbl_pnl_summary" ref="A1:J15">
  <autoFilter ref="A1:J15" xr:uid="{00000000-0009-0000-0100-00000F000000}"/>
  <tableColumns count="10">
    <tableColumn id="1" xr3:uid="{00000000-0010-0000-0E00-000001000000}" name="line_key"/>
    <tableColumn id="2" xr3:uid="{00000000-0010-0000-0E00-000002000000}" name="line_item"/>
    <tableColumn id="3" xr3:uid="{00000000-0010-0000-0E00-000003000000}" name="line_kind"/>
    <tableColumn id="4" xr3:uid="{00000000-0010-0000-0E00-000004000000}" name="unit"/>
    <tableColumn id="5" xr3:uid="{00000000-0010-0000-0E00-000005000000}" name="fy2025_actual"/>
    <tableColumn id="6" xr3:uid="{00000000-0010-0000-0E00-000006000000}" name="h1_2026_actual"/>
    <tableColumn id="7" xr3:uid="{00000000-0010-0000-0E00-000007000000}" name="h2_2026_base"/>
    <tableColumn id="8" xr3:uid="{00000000-0010-0000-0E00-000008000000}" name="fy2026_base"/>
    <tableColumn id="9" xr3:uid="{00000000-0010-0000-0E00-000009000000}" name="fy2026_budget"/>
    <tableColumn id="10" xr3:uid="{00000000-0010-0000-0E00-00000A000000}" name="polarity"/>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pnl_monthly" displayName="tbl_pnl_monthly" ref="M1:AC25">
  <autoFilter ref="M1:AC25" xr:uid="{00000000-0009-0000-0100-000010000000}"/>
  <tableColumns count="17">
    <tableColumn id="13" xr3:uid="{00000000-0010-0000-0F00-00000D000000}" name="month_end_date"/>
    <tableColumn id="14" xr3:uid="{00000000-0010-0000-0F00-00000E000000}" name="month_label"/>
    <tableColumn id="15" xr3:uid="{00000000-0010-0000-0F00-00000F000000}" name="period_type"/>
    <tableColumn id="16" xr3:uid="{00000000-0010-0000-0F00-000010000000}" name="subscription_revenue"/>
    <tableColumn id="17" xr3:uid="{00000000-0010-0000-0F00-000011000000}" name="services_revenue"/>
    <tableColumn id="18" xr3:uid="{00000000-0010-0000-0F00-000012000000}" name="total_revenue"/>
    <tableColumn id="19" xr3:uid="{00000000-0010-0000-0F00-000013000000}" name="subscription_cogs"/>
    <tableColumn id="20" xr3:uid="{00000000-0010-0000-0F00-000014000000}" name="services_cogs"/>
    <tableColumn id="21" xr3:uid="{00000000-0010-0000-0F00-000015000000}" name="total_cogs"/>
    <tableColumn id="22" xr3:uid="{00000000-0010-0000-0F00-000016000000}" name="gross_profit"/>
    <tableColumn id="23" xr3:uid="{00000000-0010-0000-0F00-000017000000}" name="gross_margin_pct"/>
    <tableColumn id="24" xr3:uid="{00000000-0010-0000-0F00-000018000000}" name="sales_marketing"/>
    <tableColumn id="25" xr3:uid="{00000000-0010-0000-0F00-000019000000}" name="research_development"/>
    <tableColumn id="26" xr3:uid="{00000000-0010-0000-0F00-00001A000000}" name="general_administrative"/>
    <tableColumn id="27" xr3:uid="{00000000-0010-0000-0F00-00001B000000}" name="total_opex"/>
    <tableColumn id="28" xr3:uid="{00000000-0010-0000-0F00-00001C000000}" name="operating_income"/>
    <tableColumn id="29" xr3:uid="{00000000-0010-0000-0F00-00001D000000}" name="operating_margin_pct"/>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headcount_function" displayName="tbl_headcount_function" ref="AE1:AF9">
  <autoFilter ref="AE1:AF9" xr:uid="{00000000-0009-0000-0100-000011000000}"/>
  <tableColumns count="2">
    <tableColumn id="31" xr3:uid="{00000000-0010-0000-1000-00001F000000}" name="function"/>
    <tableColumn id="32" xr3:uid="{00000000-0010-0000-1000-000020000000}" name="ending_headcount"/>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arr_bridge" displayName="tbl_arr_bridge" ref="A1:K9">
  <autoFilter ref="A1:K9" xr:uid="{00000000-0009-0000-0100-000012000000}"/>
  <tableColumns count="11">
    <tableColumn id="1" xr3:uid="{00000000-0010-0000-1100-000001000000}" name="line_order"/>
    <tableColumn id="2" xr3:uid="{00000000-0010-0000-1100-000002000000}" name="line_item"/>
    <tableColumn id="3" xr3:uid="{00000000-0010-0000-1100-000003000000}" name="driver_category"/>
    <tableColumn id="4" xr3:uid="{00000000-0010-0000-1100-000004000000}" name="amount"/>
    <tableColumn id="5" xr3:uid="{00000000-0010-0000-1100-000005000000}" name="running_balance"/>
    <tableColumn id="6" xr3:uid="{00000000-0010-0000-1100-000006000000}" name="residual"/>
    <tableColumn id="7" xr3:uid="{00000000-0010-0000-1100-000007000000}" name="line_kind"/>
    <tableColumn id="8" xr3:uid="{00000000-0010-0000-1100-000008000000}" name="chart_invisible"/>
    <tableColumn id="9" xr3:uid="{00000000-0010-0000-1100-000009000000}" name="chart_total"/>
    <tableColumn id="10" xr3:uid="{00000000-0010-0000-1100-00000A000000}" name="chart_increase"/>
    <tableColumn id="11" xr3:uid="{00000000-0010-0000-1100-00000B000000}" name="chart_decrease"/>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bl_gp_bridge" displayName="tbl_gp_bridge" ref="N1:X8">
  <autoFilter ref="N1:X8" xr:uid="{00000000-0009-0000-0100-000013000000}"/>
  <tableColumns count="11">
    <tableColumn id="14" xr3:uid="{00000000-0010-0000-1200-00000E000000}" name="line_order"/>
    <tableColumn id="15" xr3:uid="{00000000-0010-0000-1200-00000F000000}" name="line_item"/>
    <tableColumn id="16" xr3:uid="{00000000-0010-0000-1200-000010000000}" name="unit"/>
    <tableColumn id="17" xr3:uid="{00000000-0010-0000-1200-000011000000}" name="amount"/>
    <tableColumn id="18" xr3:uid="{00000000-0010-0000-1200-000012000000}" name="running_balance"/>
    <tableColumn id="19" xr3:uid="{00000000-0010-0000-1200-000013000000}" name="residual"/>
    <tableColumn id="20" xr3:uid="{00000000-0010-0000-1200-000014000000}" name="line_kind"/>
    <tableColumn id="21" xr3:uid="{00000000-0010-0000-1200-000015000000}" name="chart_invisible"/>
    <tableColumn id="22" xr3:uid="{00000000-0010-0000-1200-000016000000}" name="chart_total"/>
    <tableColumn id="23" xr3:uid="{00000000-0010-0000-1200-000017000000}" name="chart_increase"/>
    <tableColumn id="24" xr3:uid="{00000000-0010-0000-1200-000018000000}" name="chart_decrease"/>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bl_opex_bridge" displayName="tbl_opex_bridge" ref="AA1:AK6">
  <autoFilter ref="AA1:AK6" xr:uid="{00000000-0009-0000-0100-000014000000}"/>
  <tableColumns count="11">
    <tableColumn id="27" xr3:uid="{00000000-0010-0000-1300-00001B000000}" name="category"/>
    <tableColumn id="28" xr3:uid="{00000000-0010-0000-1300-00001C000000}" name="line_order"/>
    <tableColumn id="29" xr3:uid="{00000000-0010-0000-1300-00001D000000}" name="line_item"/>
    <tableColumn id="30" xr3:uid="{00000000-0010-0000-1300-00001E000000}" name="amount"/>
    <tableColumn id="31" xr3:uid="{00000000-0010-0000-1300-00001F000000}" name="running_balance"/>
    <tableColumn id="32" xr3:uid="{00000000-0010-0000-1300-000020000000}" name="residual"/>
    <tableColumn id="33" xr3:uid="{00000000-0010-0000-1300-000021000000}" name="line_kind"/>
    <tableColumn id="34" xr3:uid="{00000000-0010-0000-1300-000022000000}" name="chart_invisible"/>
    <tableColumn id="35" xr3:uid="{00000000-0010-0000-1300-000023000000}" name="chart_total"/>
    <tableColumn id="36" xr3:uid="{00000000-0010-0000-1300-000024000000}" name="chart_increase"/>
    <tableColumn id="37" xr3:uid="{00000000-0010-0000-1300-000025000000}" name="chart_decrease"/>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bl_oi_bridge" displayName="tbl_oi_bridge" ref="AN1:AW10">
  <autoFilter ref="AN1:AW10" xr:uid="{00000000-0009-0000-0100-000015000000}"/>
  <tableColumns count="10">
    <tableColumn id="40" xr3:uid="{00000000-0010-0000-1400-000028000000}" name="line_order"/>
    <tableColumn id="41" xr3:uid="{00000000-0010-0000-1400-000029000000}" name="line_item"/>
    <tableColumn id="42" xr3:uid="{00000000-0010-0000-1400-00002A000000}" name="amount"/>
    <tableColumn id="43" xr3:uid="{00000000-0010-0000-1400-00002B000000}" name="running_balance"/>
    <tableColumn id="44" xr3:uid="{00000000-0010-0000-1400-00002C000000}" name="residual"/>
    <tableColumn id="45" xr3:uid="{00000000-0010-0000-1400-00002D000000}" name="line_kind"/>
    <tableColumn id="46" xr3:uid="{00000000-0010-0000-1400-00002E000000}" name="chart_invisible"/>
    <tableColumn id="47" xr3:uid="{00000000-0010-0000-1400-00002F000000}" name="chart_total"/>
    <tableColumn id="48" xr3:uid="{00000000-0010-0000-1400-000030000000}" name="chart_increase"/>
    <tableColumn id="49" xr3:uid="{00000000-0010-0000-1400-000031000000}" name="chart_decrease"/>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bl_rev_bridge" displayName="tbl_rev_bridge" ref="AY1:BD16">
  <autoFilter ref="AY1:BD16" xr:uid="{00000000-0009-0000-0100-000016000000}"/>
  <tableColumns count="6">
    <tableColumn id="51" xr3:uid="{00000000-0010-0000-1500-000033000000}" name="revenue_line"/>
    <tableColumn id="52" xr3:uid="{00000000-0010-0000-1500-000034000000}" name="line_order"/>
    <tableColumn id="53" xr3:uid="{00000000-0010-0000-1500-000035000000}" name="line_item"/>
    <tableColumn id="54" xr3:uid="{00000000-0010-0000-1500-000036000000}" name="amount"/>
    <tableColumn id="55" xr3:uid="{00000000-0010-0000-1500-000037000000}" name="running_balance"/>
    <tableColumn id="56" xr3:uid="{00000000-0010-0000-1500-000038000000}" name="residual"/>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bl_mgmt_variance" displayName="tbl_mgmt_variance" ref="BF1:BR12">
  <autoFilter ref="BF1:BR12" xr:uid="{00000000-0009-0000-0100-000017000000}"/>
  <tableColumns count="13">
    <tableColumn id="58" xr3:uid="{00000000-0010-0000-1600-00003A000000}" name="metric"/>
    <tableColumn id="59" xr3:uid="{00000000-0010-0000-1600-00003B000000}" name="metric_label"/>
    <tableColumn id="60" xr3:uid="{00000000-0010-0000-1600-00003C000000}" name="period"/>
    <tableColumn id="61" xr3:uid="{00000000-0010-0000-1600-00003D000000}" name="unit"/>
    <tableColumn id="62" xr3:uid="{00000000-0010-0000-1600-00003E000000}" name="budget_amount"/>
    <tableColumn id="63" xr3:uid="{00000000-0010-0000-1600-00003F000000}" name="base_amount"/>
    <tableColumn id="64" xr3:uid="{00000000-0010-0000-1600-000040000000}" name="variance"/>
    <tableColumn id="65" xr3:uid="{00000000-0010-0000-1600-000041000000}" name="variance_pct"/>
    <tableColumn id="66" xr3:uid="{00000000-0010-0000-1600-000042000000}" name="favorable_unfavorable"/>
    <tableColumn id="67" xr3:uid="{00000000-0010-0000-1600-000043000000}" name="polarity"/>
    <tableColumn id="68" xr3:uid="{00000000-0010-0000-1600-000044000000}" name="rank_abs_variance"/>
    <tableColumn id="69" xr3:uid="{00000000-0010-0000-1600-000045000000}" name="materiality_flag"/>
    <tableColumn id="70" xr3:uid="{00000000-0010-0000-1600-000046000000}" name="source_model"/>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bl_arr_bridge_segment" displayName="tbl_arr_bridge_segment" ref="BT1:CA33">
  <autoFilter ref="BT1:CA33" xr:uid="{00000000-0009-0000-0100-000018000000}"/>
  <tableColumns count="8">
    <tableColumn id="72" xr3:uid="{00000000-0010-0000-1700-000048000000}" name="segment"/>
    <tableColumn id="73" xr3:uid="{00000000-0010-0000-1700-000049000000}" name="line_order"/>
    <tableColumn id="74" xr3:uid="{00000000-0010-0000-1700-00004A000000}" name="line_item"/>
    <tableColumn id="75" xr3:uid="{00000000-0010-0000-1700-00004B000000}" name="driver_category"/>
    <tableColumn id="76" xr3:uid="{00000000-0010-0000-1700-00004C000000}" name="amount"/>
    <tableColumn id="77" xr3:uid="{00000000-0010-0000-1700-00004D000000}" name="running_balance"/>
    <tableColumn id="78" xr3:uid="{00000000-0010-0000-1700-00004E000000}" name="budget_grain"/>
    <tableColumn id="79" xr3:uid="{00000000-0010-0000-1700-00004F000000}" name="residual"/>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bl_opex_bridge_all" displayName="tbl_opex_bridge_all" ref="CC1:CH19">
  <autoFilter ref="CC1:CH19" xr:uid="{00000000-0009-0000-0100-000019000000}"/>
  <tableColumns count="6">
    <tableColumn id="81" xr3:uid="{00000000-0010-0000-1800-000051000000}" name="category"/>
    <tableColumn id="82" xr3:uid="{00000000-0010-0000-1800-000052000000}" name="line_order"/>
    <tableColumn id="83" xr3:uid="{00000000-0010-0000-1800-000053000000}" name="line_item"/>
    <tableColumn id="84" xr3:uid="{00000000-0010-0000-1800-000054000000}" name="amount"/>
    <tableColumn id="85" xr3:uid="{00000000-0010-0000-1800-000055000000}" name="running_balance"/>
    <tableColumn id="86" xr3:uid="{00000000-0010-0000-1800-000056000000}" name="residual"/>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bl_gm_bridge" displayName="tbl_gm_bridge" ref="CJ1:CM4">
  <autoFilter ref="CJ1:CM4" xr:uid="{00000000-0009-0000-0100-00001A000000}"/>
  <tableColumns count="4">
    <tableColumn id="88" xr3:uid="{00000000-0010-0000-1900-000058000000}" name="line_order"/>
    <tableColumn id="89" xr3:uid="{00000000-0010-0000-1900-000059000000}" name="line_item"/>
    <tableColumn id="90" xr3:uid="{00000000-0010-0000-1900-00005A000000}" name="unit"/>
    <tableColumn id="91" xr3:uid="{00000000-0010-0000-1900-00005B000000}" name="amount"/>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bl_scenario_summary" displayName="tbl_scenario_summary" ref="A1:Q4">
  <autoFilter ref="A1:Q4" xr:uid="{00000000-0009-0000-0100-00001B000000}"/>
  <tableColumns count="17">
    <tableColumn id="1" xr3:uid="{00000000-0010-0000-1A00-000001000000}" name="scenario"/>
    <tableColumn id="2" xr3:uid="{00000000-0010-0000-1A00-000002000000}" name="dec_2026_exit_arr"/>
    <tableColumn id="3" xr3:uid="{00000000-0010-0000-1A00-000003000000}" name="fy2026_revenue"/>
    <tableColumn id="4" xr3:uid="{00000000-0010-0000-1A00-000004000000}" name="fy2026_operating_income"/>
    <tableColumn id="5" xr3:uid="{00000000-0010-0000-1A00-000005000000}" name="dec_2027_exit_arr"/>
    <tableColumn id="6" xr3:uid="{00000000-0010-0000-1A00-000006000000}" name="dec_2026_cash"/>
    <tableColumn id="7" xr3:uid="{00000000-0010-0000-1A00-000007000000}" name="dec_2027_cash"/>
    <tableColumn id="8" xr3:uid="{00000000-0010-0000-1A00-000008000000}" name="policy_avg_monthly_burn"/>
    <tableColumn id="9" xr3:uid="{00000000-0010-0000-1A00-000009000000}" name="policy_runway_months"/>
    <tableColumn id="10" xr3:uid="{00000000-0010-0000-1A00-00000A000000}" name="headroom_months"/>
    <tableColumn id="11" xr3:uid="{00000000-0010-0000-1A00-00000B000000}" name="board_runway_floor_months"/>
    <tableColumn id="12" xr3:uid="{00000000-0010-0000-1A00-00000C000000}" name="breaches_floor"/>
    <tableColumn id="13" xr3:uid="{00000000-0010-0000-1A00-00000D000000}" name="win_rate_multiplier"/>
    <tableColumn id="14" xr3:uid="{00000000-0010-0000-1A00-00000E000000}" name="attainment_multiplier"/>
    <tableColumn id="15" xr3:uid="{00000000-0010-0000-1A00-00000F000000}" name="pipeline_creation_multiplier"/>
    <tableColumn id="16" xr3:uid="{00000000-0010-0000-1A00-000010000000}" name="retention_severity_multiplier"/>
    <tableColumn id="17" xr3:uid="{00000000-0010-0000-1A00-000011000000}" name="expansion_multiplier"/>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bl_scenario_trajectory" displayName="tbl_scenario_trajectory" ref="S1:W25">
  <autoFilter ref="S1:W25" xr:uid="{00000000-0009-0000-0100-00001C000000}"/>
  <tableColumns count="5">
    <tableColumn id="19" xr3:uid="{00000000-0010-0000-1B00-000013000000}" name="month_end_date"/>
    <tableColumn id="20" xr3:uid="{00000000-0010-0000-1B00-000014000000}" name="month_label"/>
    <tableColumn id="21" xr3:uid="{00000000-0010-0000-1B00-000015000000}" name="Bear"/>
    <tableColumn id="22" xr3:uid="{00000000-0010-0000-1B00-000016000000}" name="Base"/>
    <tableColumn id="23" xr3:uid="{00000000-0010-0000-1B00-000017000000}" name="Bull"/>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bl_scenario_drivers" displayName="tbl_scenario_drivers" ref="Z1:AG39">
  <autoFilter ref="Z1:AG39" xr:uid="{00000000-0009-0000-0100-00001D000000}"/>
  <tableColumns count="8">
    <tableColumn id="26" xr3:uid="{00000000-0010-0000-1C00-00001A000000}" name="driver_category"/>
    <tableColumn id="27" xr3:uid="{00000000-0010-0000-1C00-00001B000000}" name="driver_name"/>
    <tableColumn id="28" xr3:uid="{00000000-0010-0000-1C00-00001C000000}" name="segment"/>
    <tableColumn id="29" xr3:uid="{00000000-0010-0000-1C00-00001D000000}" name="unit"/>
    <tableColumn id="30" xr3:uid="{00000000-0010-0000-1C00-00001E000000}" name="source_type"/>
    <tableColumn id="31" xr3:uid="{00000000-0010-0000-1C00-00001F000000}" name="Bear"/>
    <tableColumn id="32" xr3:uid="{00000000-0010-0000-1C00-000020000000}" name="Base"/>
    <tableColumn id="33" xr3:uid="{00000000-0010-0000-1C00-000021000000}" name="Bull"/>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bl_runway_policy" displayName="tbl_runway_policy" ref="A1:I6">
  <autoFilter ref="A1:I6" xr:uid="{00000000-0009-0000-0100-00001E000000}"/>
  <tableColumns count="9">
    <tableColumn id="1" xr3:uid="{00000000-0010-0000-1D00-000001000000}" name="path"/>
    <tableColumn id="2" xr3:uid="{00000000-0010-0000-1D00-000002000000}" name="view"/>
    <tableColumn id="3" xr3:uid="{00000000-0010-0000-1D00-000003000000}" name="label"/>
    <tableColumn id="4" xr3:uid="{00000000-0010-0000-1D00-000004000000}" name="policy_avg_monthly_burn"/>
    <tableColumn id="5" xr3:uid="{00000000-0010-0000-1D00-000005000000}" name="opening_cash"/>
    <tableColumn id="6" xr3:uid="{00000000-0010-0000-1D00-000006000000}" name="policy_runway_months"/>
    <tableColumn id="7" xr3:uid="{00000000-0010-0000-1D00-000007000000}" name="board_runway_floor_months"/>
    <tableColumn id="8" xr3:uid="{00000000-0010-0000-1D00-000008000000}" name="headroom_months"/>
    <tableColumn id="9" xr3:uid="{00000000-0010-0000-1D00-000009000000}" name="breaches_floor_flag"/>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bl_hiring" displayName="tbl_hiring" ref="L1:Z4">
  <autoFilter ref="L1:Z4" xr:uid="{00000000-0009-0000-0100-00001F000000}"/>
  <tableColumns count="15">
    <tableColumn id="12" xr3:uid="{00000000-0010-0000-1E00-00000C000000}" name="case_label"/>
    <tableColumn id="13" xr3:uid="{00000000-0010-0000-1E00-00000D000000}" name="path"/>
    <tableColumn id="14" xr3:uid="{00000000-0010-0000-1E00-00000E000000}" name="cumulative_hires"/>
    <tableColumn id="15" xr3:uid="{00000000-0010-0000-1E00-00000F000000}" name="h2_2026_new_logo_capacity"/>
    <tableColumn id="16" xr3:uid="{00000000-0010-0000-1E00-000010000000}" name="policy_avg_monthly_burn"/>
    <tableColumn id="17" xr3:uid="{00000000-0010-0000-1E00-000011000000}" name="policy_runway_months"/>
    <tableColumn id="18" xr3:uid="{00000000-0010-0000-1E00-000012000000}" name="board_runway_floor_months"/>
    <tableColumn id="19" xr3:uid="{00000000-0010-0000-1E00-000013000000}" name="headroom_months"/>
    <tableColumn id="20" xr3:uid="{00000000-0010-0000-1E00-000014000000}" name="breaches_floor_flag"/>
    <tableColumn id="21" xr3:uid="{00000000-0010-0000-1E00-000015000000}" name="dec_2027_incremental_arr"/>
    <tableColumn id="22" xr3:uid="{00000000-0010-0000-1E00-000016000000}" name="dec_2027_incremental_operating_income"/>
    <tableColumn id="23" xr3:uid="{00000000-0010-0000-1E00-000017000000}" name="dec_2027_incremental_cash"/>
    <tableColumn id="24" xr3:uid="{00000000-0010-0000-1E00-000018000000}" name="dec_2026_incremental_arr"/>
    <tableColumn id="25" xr3:uid="{00000000-0010-0000-1E00-000019000000}" name="dec_2026_incremental_cash"/>
    <tableColumn id="26" xr3:uid="{00000000-0010-0000-1E00-00001A000000}" name="primary_binding_constraint"/>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bl_subscription_accounting" displayName="tbl_subscription_accounting" ref="A1:I4">
  <autoFilter ref="A1:I4" xr:uid="{00000000-0009-0000-0100-000020000000}"/>
  <tableColumns count="9">
    <tableColumn id="1" xr3:uid="{00000000-0010-0000-1F00-000001000000}" name="period"/>
    <tableColumn id="2" xr3:uid="{00000000-0010-0000-1F00-000002000000}" name="bookings_tcv"/>
    <tableColumn id="3" xr3:uid="{00000000-0010-0000-1F00-000003000000}" name="bookings_acv"/>
    <tableColumn id="4" xr3:uid="{00000000-0010-0000-1F00-000004000000}" name="subscription_billings"/>
    <tableColumn id="5" xr3:uid="{00000000-0010-0000-1F00-000005000000}" name="exit_arr"/>
    <tableColumn id="6" xr3:uid="{00000000-0010-0000-1F00-000006000000}" name="contract_analytical_revenue"/>
    <tableColumn id="7" xr3:uid="{00000000-0010-0000-1F00-000007000000}" name="gl_subscription_revenue"/>
    <tableColumn id="8" xr3:uid="{00000000-0010-0000-1F00-000008000000}" name="ending_deferred_revenue"/>
    <tableColumn id="9" xr3:uid="{00000000-0010-0000-1F00-000009000000}" name="ending_unbilled_receivable"/>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_deferred_revenue" displayName="tbl_deferred_revenue" ref="K1:R11">
  <autoFilter ref="K1:R11" xr:uid="{00000000-0009-0000-0100-000021000000}"/>
  <tableColumns count="8">
    <tableColumn id="11" xr3:uid="{00000000-0010-0000-2000-00000B000000}" name="fiscal_quarter"/>
    <tableColumn id="12" xr3:uid="{00000000-0010-0000-2000-00000C000000}" name="beginning_deferred_revenue"/>
    <tableColumn id="13" xr3:uid="{00000000-0010-0000-2000-00000D000000}" name="billings"/>
    <tableColumn id="14" xr3:uid="{00000000-0010-0000-2000-00000E000000}" name="revenue_recognised"/>
    <tableColumn id="15" xr3:uid="{00000000-0010-0000-2000-00000F000000}" name="unbilled_receivable_movement"/>
    <tableColumn id="16" xr3:uid="{00000000-0010-0000-2000-000010000000}" name="ending_deferred_revenue"/>
    <tableColumn id="17" xr3:uid="{00000000-0010-0000-2000-000011000000}" name="ending_unbilled_receivable"/>
    <tableColumn id="18" xr3:uid="{00000000-0010-0000-2000-000012000000}" name="rollforward_residual"/>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bl_commission" displayName="tbl_commission" ref="U1:AD6">
  <autoFilter ref="U1:AD6" xr:uid="{00000000-0009-0000-0100-000022000000}"/>
  <tableColumns count="10">
    <tableColumn id="21" xr3:uid="{00000000-0010-0000-2100-000015000000}" name="period"/>
    <tableColumn id="22" xr3:uid="{00000000-0010-0000-2100-000016000000}" name="basis"/>
    <tableColumn id="23" xr3:uid="{00000000-0010-0000-2100-000017000000}" name="beginning_commission_asset"/>
    <tableColumn id="24" xr3:uid="{00000000-0010-0000-2100-000018000000}" name="commission_earned"/>
    <tableColumn id="25" xr3:uid="{00000000-0010-0000-2100-000019000000}" name="immediate_expense"/>
    <tableColumn id="26" xr3:uid="{00000000-0010-0000-2100-00001A000000}" name="capitalised_commission"/>
    <tableColumn id="27" xr3:uid="{00000000-0010-0000-2100-00001B000000}" name="commission_amortisation"/>
    <tableColumn id="28" xr3:uid="{00000000-0010-0000-2100-00001C000000}" name="gaap_commission_expense"/>
    <tableColumn id="29" xr3:uid="{00000000-0010-0000-2100-00001D000000}" name="commission_paid_cash"/>
    <tableColumn id="30" xr3:uid="{00000000-0010-0000-2100-00001E000000}" name="ending_commission_asset"/>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bl_accounting_adjustment" displayName="tbl_accounting_adjustment" ref="AG1:AK4">
  <autoFilter ref="AG1:AK4" xr:uid="{00000000-0009-0000-0100-000023000000}"/>
  <tableColumns count="5">
    <tableColumn id="33" xr3:uid="{00000000-0010-0000-2200-000021000000}" name="period"/>
    <tableColumn id="34" xr3:uid="{00000000-0010-0000-2200-000022000000}" name="commission_accounting_adjustment"/>
    <tableColumn id="35" xr3:uid="{00000000-0010-0000-2200-000023000000}" name="phase6_total_revenue"/>
    <tableColumn id="36" xr3:uid="{00000000-0010-0000-2200-000024000000}" name="adjustment_pct_of_revenue"/>
    <tableColumn id="37" xr3:uid="{00000000-0010-0000-2200-000025000000}" name="largest_monthly_adjustment"/>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bl_commentary" displayName="tbl_commentary" ref="A1:K10">
  <autoFilter ref="A1:K10" xr:uid="{00000000-0009-0000-0100-000024000000}"/>
  <tableColumns count="11">
    <tableColumn id="1" xr3:uid="{00000000-0010-0000-2300-000001000000}" name="exec_rank"/>
    <tableColumn id="2" xr3:uid="{00000000-0010-0000-2300-000002000000}" name="commentary_id"/>
    <tableColumn id="3" xr3:uid="{00000000-0010-0000-2300-000003000000}" name="priority"/>
    <tableColumn id="4" xr3:uid="{00000000-0010-0000-2300-000004000000}" name="section"/>
    <tableColumn id="5" xr3:uid="{00000000-0010-0000-2300-000005000000}" name="metric"/>
    <tableColumn id="6" xr3:uid="{00000000-0010-0000-2300-000006000000}" name="headline"/>
    <tableColumn id="7" xr3:uid="{00000000-0010-0000-2300-000007000000}" name="detail"/>
    <tableColumn id="8" xr3:uid="{00000000-0010-0000-2300-000008000000}" name="supporting_evidence"/>
    <tableColumn id="9" xr3:uid="{00000000-0010-0000-2300-000009000000}" name="management_implication"/>
    <tableColumn id="10" xr3:uid="{00000000-0010-0000-2300-00000A000000}" name="materiality_score"/>
    <tableColumn id="11" xr3:uid="{00000000-0010-0000-2300-00000B000000}" name="source_mode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4"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table" Target="../tables/table10.xml"/><Relationship Id="rId6" Type="http://schemas.openxmlformats.org/officeDocument/2006/relationships/table" Target="../tables/table15.xml"/><Relationship Id="rId5" Type="http://schemas.openxmlformats.org/officeDocument/2006/relationships/table" Target="../tables/table14.xml"/><Relationship Id="rId4" Type="http://schemas.openxmlformats.org/officeDocument/2006/relationships/table" Target="../tables/table13.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 Id="rId9" Type="http://schemas.openxmlformats.org/officeDocument/2006/relationships/table" Target="../tables/table2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36.xml"/><Relationship Id="rId2" Type="http://schemas.openxmlformats.org/officeDocument/2006/relationships/table" Target="../tables/table35.xml"/><Relationship Id="rId1" Type="http://schemas.openxmlformats.org/officeDocument/2006/relationships/table" Target="../tables/table34.xml"/><Relationship Id="rId4" Type="http://schemas.openxmlformats.org/officeDocument/2006/relationships/table" Target="../tables/table3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A59B6-4978-4FD8-AA4E-25DA8DED9FBC}">
  <dimension ref="A1:M34"/>
  <sheetViews>
    <sheetView workbookViewId="0"/>
  </sheetViews>
  <sheetFormatPr defaultRowHeight="14.5" x14ac:dyDescent="0.35"/>
  <cols>
    <col min="1" max="1" width="13.453125" customWidth="1"/>
    <col min="3" max="3" width="12.90625" customWidth="1"/>
    <col min="4" max="4" width="11.453125" customWidth="1"/>
    <col min="5" max="5" width="9.7265625" bestFit="1" customWidth="1"/>
    <col min="10" max="10" width="13.453125" customWidth="1"/>
    <col min="11" max="11" width="11.6328125" customWidth="1"/>
    <col min="12" max="12" width="24" customWidth="1"/>
  </cols>
  <sheetData>
    <row r="1" spans="1:13" x14ac:dyDescent="0.35">
      <c r="A1" t="s">
        <v>946</v>
      </c>
    </row>
    <row r="3" spans="1:13" x14ac:dyDescent="0.35">
      <c r="A3" s="154" t="s">
        <v>947</v>
      </c>
      <c r="H3" s="154" t="s">
        <v>948</v>
      </c>
    </row>
    <row r="4" spans="1:13" x14ac:dyDescent="0.35">
      <c r="A4" s="154" t="s">
        <v>544</v>
      </c>
      <c r="B4" s="154" t="s">
        <v>77</v>
      </c>
      <c r="C4" s="154" t="s">
        <v>78</v>
      </c>
      <c r="D4" s="154" t="s">
        <v>79</v>
      </c>
      <c r="E4" s="154" t="s">
        <v>76</v>
      </c>
      <c r="H4" s="154" t="s">
        <v>949</v>
      </c>
      <c r="I4" s="154" t="s">
        <v>756</v>
      </c>
      <c r="J4" s="154" t="s">
        <v>544</v>
      </c>
      <c r="K4" s="154" t="s">
        <v>950</v>
      </c>
      <c r="L4" s="154" t="s">
        <v>951</v>
      </c>
      <c r="M4" s="154" t="s">
        <v>952</v>
      </c>
    </row>
    <row r="5" spans="1:13" x14ac:dyDescent="0.35">
      <c r="A5" s="155">
        <v>46229</v>
      </c>
      <c r="B5" s="156">
        <v>53657.64</v>
      </c>
      <c r="C5" s="156">
        <v>814172.04</v>
      </c>
      <c r="D5" s="156">
        <v>0</v>
      </c>
      <c r="E5" s="156">
        <v>867829.68</v>
      </c>
      <c r="H5" t="s">
        <v>953</v>
      </c>
      <c r="I5" t="s">
        <v>276</v>
      </c>
      <c r="J5" s="155">
        <v>46229</v>
      </c>
      <c r="K5" s="156">
        <v>2701986.5979122571</v>
      </c>
      <c r="L5" s="156">
        <v>3169564.1816903432</v>
      </c>
      <c r="M5" s="156">
        <v>0</v>
      </c>
    </row>
    <row r="6" spans="1:13" x14ac:dyDescent="0.35">
      <c r="A6" s="155">
        <v>46260</v>
      </c>
      <c r="B6" s="156">
        <v>103155.6</v>
      </c>
      <c r="C6" s="156">
        <v>646109.4</v>
      </c>
      <c r="D6" s="156">
        <v>345669.12</v>
      </c>
      <c r="E6" s="156">
        <v>1094934.1200000001</v>
      </c>
      <c r="H6" t="s">
        <v>954</v>
      </c>
      <c r="I6" t="s">
        <v>276</v>
      </c>
      <c r="J6" s="155">
        <v>46260</v>
      </c>
      <c r="K6" s="156">
        <v>2758263.4408390238</v>
      </c>
      <c r="L6" s="156">
        <v>3331214.6945461179</v>
      </c>
      <c r="M6" s="156">
        <v>0</v>
      </c>
    </row>
    <row r="7" spans="1:13" x14ac:dyDescent="0.35">
      <c r="A7" s="155">
        <v>46291</v>
      </c>
      <c r="B7" s="156">
        <v>73938.240000000005</v>
      </c>
      <c r="C7" s="156">
        <v>594011.04</v>
      </c>
      <c r="D7" s="156">
        <v>485520.36</v>
      </c>
      <c r="E7" s="156">
        <v>1153469.6400000001</v>
      </c>
      <c r="H7" t="s">
        <v>955</v>
      </c>
      <c r="I7" t="s">
        <v>276</v>
      </c>
      <c r="J7" s="155">
        <v>46291</v>
      </c>
      <c r="K7" s="156">
        <v>2791023.8180956258</v>
      </c>
      <c r="L7" s="156">
        <v>3320346.3402383025</v>
      </c>
      <c r="M7" s="156">
        <v>0</v>
      </c>
    </row>
    <row r="8" spans="1:13" x14ac:dyDescent="0.35">
      <c r="A8" s="155">
        <v>46321</v>
      </c>
      <c r="B8" s="156">
        <v>107749.68</v>
      </c>
      <c r="C8" s="156">
        <v>939066.24</v>
      </c>
      <c r="D8" s="156">
        <v>526073.88</v>
      </c>
      <c r="E8" s="156">
        <v>1572889.7999999998</v>
      </c>
      <c r="H8" t="s">
        <v>956</v>
      </c>
      <c r="I8" t="s">
        <v>276</v>
      </c>
      <c r="J8" s="155">
        <v>46321</v>
      </c>
      <c r="K8" s="156">
        <v>2815294.5815955563</v>
      </c>
      <c r="L8" s="156">
        <v>3312069.7637342857</v>
      </c>
      <c r="M8" s="156">
        <v>0</v>
      </c>
    </row>
    <row r="9" spans="1:13" x14ac:dyDescent="0.35">
      <c r="A9" s="155">
        <v>46352</v>
      </c>
      <c r="B9" s="156">
        <v>168827.51999999999</v>
      </c>
      <c r="C9" s="156">
        <v>717933.24</v>
      </c>
      <c r="D9" s="156">
        <v>1352130.6</v>
      </c>
      <c r="E9" s="156">
        <v>2238891.3600000003</v>
      </c>
      <c r="H9" t="s">
        <v>957</v>
      </c>
      <c r="I9" t="s">
        <v>276</v>
      </c>
      <c r="J9" s="155">
        <v>46352</v>
      </c>
      <c r="K9" s="156">
        <v>2846362.5390066481</v>
      </c>
      <c r="L9" s="156">
        <v>3316324.5106611787</v>
      </c>
      <c r="M9" s="156">
        <v>0</v>
      </c>
    </row>
    <row r="10" spans="1:13" x14ac:dyDescent="0.35">
      <c r="A10" s="155">
        <v>46382</v>
      </c>
      <c r="B10" s="156">
        <v>222574.32</v>
      </c>
      <c r="C10" s="156">
        <v>2285066.04</v>
      </c>
      <c r="D10" s="156">
        <v>1584911.28</v>
      </c>
      <c r="E10" s="156">
        <v>4092551.6399999997</v>
      </c>
      <c r="H10" t="s">
        <v>958</v>
      </c>
      <c r="I10" t="s">
        <v>276</v>
      </c>
      <c r="J10" s="155">
        <v>46382</v>
      </c>
      <c r="K10" s="156">
        <v>2890177.5878764926</v>
      </c>
      <c r="L10" s="156">
        <v>3308093.7319123843</v>
      </c>
      <c r="M10" s="156">
        <v>0</v>
      </c>
    </row>
    <row r="11" spans="1:13" x14ac:dyDescent="0.35">
      <c r="H11" t="s">
        <v>959</v>
      </c>
      <c r="I11" t="s">
        <v>771</v>
      </c>
      <c r="J11" s="155">
        <v>46229</v>
      </c>
      <c r="K11" s="156">
        <v>2701986.5979122571</v>
      </c>
      <c r="L11" s="156">
        <v>3169564.1816903432</v>
      </c>
      <c r="M11" s="156">
        <v>0</v>
      </c>
    </row>
    <row r="12" spans="1:13" x14ac:dyDescent="0.35">
      <c r="H12" t="s">
        <v>960</v>
      </c>
      <c r="I12" t="s">
        <v>771</v>
      </c>
      <c r="J12" s="155">
        <v>46260</v>
      </c>
      <c r="K12" s="156">
        <v>2758263.4408390224</v>
      </c>
      <c r="L12" s="156">
        <v>3331214.6945461179</v>
      </c>
      <c r="M12" s="156">
        <v>0</v>
      </c>
    </row>
    <row r="13" spans="1:13" x14ac:dyDescent="0.35">
      <c r="H13" t="s">
        <v>961</v>
      </c>
      <c r="I13" t="s">
        <v>771</v>
      </c>
      <c r="J13" s="155">
        <v>46291</v>
      </c>
      <c r="K13" s="156">
        <v>2791023.8180956254</v>
      </c>
      <c r="L13" s="156">
        <v>3320346.3402383025</v>
      </c>
      <c r="M13" s="156">
        <v>0</v>
      </c>
    </row>
    <row r="14" spans="1:13" x14ac:dyDescent="0.35">
      <c r="H14" t="s">
        <v>962</v>
      </c>
      <c r="I14" t="s">
        <v>771</v>
      </c>
      <c r="J14" s="155">
        <v>46321</v>
      </c>
      <c r="K14" s="156">
        <v>2815294.5815955563</v>
      </c>
      <c r="L14" s="156">
        <v>3358662.94495566</v>
      </c>
      <c r="M14" s="156">
        <v>0</v>
      </c>
    </row>
    <row r="15" spans="1:13" x14ac:dyDescent="0.35">
      <c r="H15" t="s">
        <v>963</v>
      </c>
      <c r="I15" t="s">
        <v>771</v>
      </c>
      <c r="J15" s="155">
        <v>46352</v>
      </c>
      <c r="K15" s="156">
        <v>2846375.0276012057</v>
      </c>
      <c r="L15" s="156">
        <v>3362706.7807523962</v>
      </c>
      <c r="M15" s="156">
        <v>0</v>
      </c>
    </row>
    <row r="16" spans="1:13" x14ac:dyDescent="0.35">
      <c r="H16" t="s">
        <v>964</v>
      </c>
      <c r="I16" t="s">
        <v>771</v>
      </c>
      <c r="J16" s="155">
        <v>46382</v>
      </c>
      <c r="K16" s="156">
        <v>2890213.3548900774</v>
      </c>
      <c r="L16" s="156">
        <v>3354231.752578265</v>
      </c>
      <c r="M16" s="156">
        <v>0</v>
      </c>
    </row>
    <row r="17" spans="8:13" x14ac:dyDescent="0.35">
      <c r="H17" t="s">
        <v>965</v>
      </c>
      <c r="I17" t="s">
        <v>770</v>
      </c>
      <c r="J17" s="155">
        <v>46229</v>
      </c>
      <c r="K17" s="156">
        <v>2701986.5979122571</v>
      </c>
      <c r="L17" s="156">
        <v>3169564.1816903432</v>
      </c>
      <c r="M17" s="156">
        <v>0</v>
      </c>
    </row>
    <row r="18" spans="8:13" x14ac:dyDescent="0.35">
      <c r="H18" t="s">
        <v>966</v>
      </c>
      <c r="I18" t="s">
        <v>770</v>
      </c>
      <c r="J18" s="155">
        <v>46260</v>
      </c>
      <c r="K18" s="156">
        <v>2758263.4408390238</v>
      </c>
      <c r="L18" s="156">
        <v>3331214.6945461179</v>
      </c>
      <c r="M18" s="156">
        <v>0</v>
      </c>
    </row>
    <row r="19" spans="8:13" x14ac:dyDescent="0.35">
      <c r="H19" t="s">
        <v>967</v>
      </c>
      <c r="I19" t="s">
        <v>770</v>
      </c>
      <c r="J19" s="155">
        <v>46291</v>
      </c>
      <c r="K19" s="156">
        <v>2791023.8180956258</v>
      </c>
      <c r="L19" s="156">
        <v>3320346.3402383025</v>
      </c>
      <c r="M19" s="156">
        <v>0</v>
      </c>
    </row>
    <row r="20" spans="8:13" x14ac:dyDescent="0.35">
      <c r="H20" t="s">
        <v>968</v>
      </c>
      <c r="I20" t="s">
        <v>770</v>
      </c>
      <c r="J20" s="155">
        <v>46321</v>
      </c>
      <c r="K20" s="156">
        <v>2815294.5815955563</v>
      </c>
      <c r="L20" s="156">
        <v>3312069.7637342857</v>
      </c>
      <c r="M20" s="156">
        <v>0</v>
      </c>
    </row>
    <row r="21" spans="8:13" x14ac:dyDescent="0.35">
      <c r="H21" t="s">
        <v>969</v>
      </c>
      <c r="I21" t="s">
        <v>770</v>
      </c>
      <c r="J21" s="155">
        <v>46352</v>
      </c>
      <c r="K21" s="156">
        <v>2846362.5390066481</v>
      </c>
      <c r="L21" s="156">
        <v>3316324.5106611787</v>
      </c>
      <c r="M21" s="156">
        <v>0</v>
      </c>
    </row>
    <row r="22" spans="8:13" x14ac:dyDescent="0.35">
      <c r="H22" t="s">
        <v>970</v>
      </c>
      <c r="I22" t="s">
        <v>770</v>
      </c>
      <c r="J22" s="155">
        <v>46382</v>
      </c>
      <c r="K22" s="156">
        <v>2890177.5878764926</v>
      </c>
      <c r="L22" s="156">
        <v>3308093.7319123843</v>
      </c>
      <c r="M22" s="156">
        <v>0</v>
      </c>
    </row>
    <row r="23" spans="8:13" x14ac:dyDescent="0.35">
      <c r="H23" t="s">
        <v>971</v>
      </c>
      <c r="I23" t="s">
        <v>275</v>
      </c>
      <c r="J23" s="155">
        <v>46229</v>
      </c>
      <c r="K23" s="156">
        <v>2700462.9930809182</v>
      </c>
      <c r="L23" s="156">
        <v>3165565.3396241558</v>
      </c>
      <c r="M23" s="156">
        <v>0</v>
      </c>
    </row>
    <row r="24" spans="8:13" x14ac:dyDescent="0.35">
      <c r="H24" t="s">
        <v>972</v>
      </c>
      <c r="I24" t="s">
        <v>275</v>
      </c>
      <c r="J24" s="155">
        <v>46260</v>
      </c>
      <c r="K24" s="156">
        <v>2752538.7276020879</v>
      </c>
      <c r="L24" s="156">
        <v>3328880.763493224</v>
      </c>
      <c r="M24" s="156">
        <v>0</v>
      </c>
    </row>
    <row r="25" spans="8:13" x14ac:dyDescent="0.35">
      <c r="H25" t="s">
        <v>973</v>
      </c>
      <c r="I25" t="s">
        <v>275</v>
      </c>
      <c r="J25" s="155">
        <v>46291</v>
      </c>
      <c r="K25" s="156">
        <v>2779970.7482759152</v>
      </c>
      <c r="L25" s="156">
        <v>3318391.6171605112</v>
      </c>
      <c r="M25" s="156">
        <v>0</v>
      </c>
    </row>
    <row r="26" spans="8:13" x14ac:dyDescent="0.35">
      <c r="H26" t="s">
        <v>974</v>
      </c>
      <c r="I26" t="s">
        <v>275</v>
      </c>
      <c r="J26" s="155">
        <v>46321</v>
      </c>
      <c r="K26" s="156">
        <v>2795411.8796217344</v>
      </c>
      <c r="L26" s="156">
        <v>3310110.1151685561</v>
      </c>
      <c r="M26" s="156">
        <v>0</v>
      </c>
    </row>
    <row r="27" spans="8:13" x14ac:dyDescent="0.35">
      <c r="H27" t="s">
        <v>975</v>
      </c>
      <c r="I27" t="s">
        <v>275</v>
      </c>
      <c r="J27" s="155">
        <v>46352</v>
      </c>
      <c r="K27" s="156">
        <v>2812399.7888333951</v>
      </c>
      <c r="L27" s="156">
        <v>3310294.9687232627</v>
      </c>
      <c r="M27" s="156">
        <v>0</v>
      </c>
    </row>
    <row r="28" spans="8:13" x14ac:dyDescent="0.35">
      <c r="H28" t="s">
        <v>976</v>
      </c>
      <c r="I28" t="s">
        <v>275</v>
      </c>
      <c r="J28" s="155">
        <v>46382</v>
      </c>
      <c r="K28" s="156">
        <v>2835401.4403762766</v>
      </c>
      <c r="L28" s="156">
        <v>3302046.962297562</v>
      </c>
      <c r="M28" s="156">
        <v>0</v>
      </c>
    </row>
    <row r="29" spans="8:13" x14ac:dyDescent="0.35">
      <c r="H29" t="s">
        <v>977</v>
      </c>
      <c r="I29" t="s">
        <v>277</v>
      </c>
      <c r="J29" s="155">
        <v>46229</v>
      </c>
      <c r="K29" s="156">
        <v>2703510.202743595</v>
      </c>
      <c r="L29" s="156">
        <v>3174195.3806212861</v>
      </c>
      <c r="M29" s="156">
        <v>0</v>
      </c>
    </row>
    <row r="30" spans="8:13" x14ac:dyDescent="0.35">
      <c r="H30" t="s">
        <v>978</v>
      </c>
      <c r="I30" t="s">
        <v>277</v>
      </c>
      <c r="J30" s="155">
        <v>46260</v>
      </c>
      <c r="K30" s="156">
        <v>2764098.1627345327</v>
      </c>
      <c r="L30" s="156">
        <v>3334180.9824637678</v>
      </c>
      <c r="M30" s="156">
        <v>0</v>
      </c>
    </row>
    <row r="31" spans="8:13" x14ac:dyDescent="0.35">
      <c r="H31" t="s">
        <v>979</v>
      </c>
      <c r="I31" t="s">
        <v>277</v>
      </c>
      <c r="J31" s="155">
        <v>46291</v>
      </c>
      <c r="K31" s="156">
        <v>2802651.4643833782</v>
      </c>
      <c r="L31" s="156">
        <v>3322933.4201808488</v>
      </c>
      <c r="M31" s="156">
        <v>0</v>
      </c>
    </row>
    <row r="32" spans="8:13" x14ac:dyDescent="0.35">
      <c r="H32" t="s">
        <v>980</v>
      </c>
      <c r="I32" t="s">
        <v>277</v>
      </c>
      <c r="J32" s="155">
        <v>46321</v>
      </c>
      <c r="K32" s="156">
        <v>2836560.1190309129</v>
      </c>
      <c r="L32" s="156">
        <v>3314661.7691647718</v>
      </c>
      <c r="M32" s="156">
        <v>0</v>
      </c>
    </row>
    <row r="33" spans="8:13" x14ac:dyDescent="0.35">
      <c r="H33" t="s">
        <v>981</v>
      </c>
      <c r="I33" t="s">
        <v>277</v>
      </c>
      <c r="J33" s="155">
        <v>46352</v>
      </c>
      <c r="K33" s="156">
        <v>2882771.9652941702</v>
      </c>
      <c r="L33" s="156">
        <v>3323215.5182175408</v>
      </c>
      <c r="M33" s="156">
        <v>0</v>
      </c>
    </row>
    <row r="34" spans="8:13" x14ac:dyDescent="0.35">
      <c r="H34" t="s">
        <v>982</v>
      </c>
      <c r="I34" t="s">
        <v>277</v>
      </c>
      <c r="J34" s="155">
        <v>46382</v>
      </c>
      <c r="K34" s="156">
        <v>2948697.6764810104</v>
      </c>
      <c r="L34" s="156">
        <v>3315109.7684406959</v>
      </c>
      <c r="M34" s="156">
        <v>0</v>
      </c>
    </row>
  </sheetData>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BD217-AD2D-4859-8964-B6E83411CF31}">
  <sheetPr>
    <tabColor rgb="FF1F3864"/>
    <pageSetUpPr fitToPage="1"/>
  </sheetPr>
  <dimension ref="B1:G48"/>
  <sheetViews>
    <sheetView showGridLines="0" tabSelected="1" zoomScale="95" zoomScaleNormal="95" workbookViewId="0"/>
  </sheetViews>
  <sheetFormatPr defaultRowHeight="14.5" x14ac:dyDescent="0.35"/>
  <cols>
    <col min="1" max="1" width="2.453125" customWidth="1"/>
    <col min="2" max="2" width="24.6328125" customWidth="1"/>
    <col min="3" max="3" width="20.6328125" customWidth="1"/>
    <col min="4" max="6" width="26.6328125" customWidth="1"/>
    <col min="7" max="7" width="18.6328125" customWidth="1"/>
  </cols>
  <sheetData>
    <row r="1" spans="2:7" ht="24" customHeight="1" x14ac:dyDescent="0.35">
      <c r="B1" s="132" t="s">
        <v>0</v>
      </c>
    </row>
    <row r="2" spans="2:7" ht="15" customHeight="1" x14ac:dyDescent="0.35">
      <c r="B2" s="133" t="s">
        <v>898</v>
      </c>
    </row>
    <row r="3" spans="2:7" ht="12" customHeight="1" x14ac:dyDescent="0.35">
      <c r="B3" s="134" t="s">
        <v>2</v>
      </c>
    </row>
    <row r="4" spans="2:7" ht="12" customHeight="1" x14ac:dyDescent="0.35">
      <c r="B4" s="134" t="s">
        <v>897</v>
      </c>
    </row>
    <row r="5" spans="2:7" ht="7" customHeight="1" x14ac:dyDescent="0.35">
      <c r="B5" s="116"/>
      <c r="C5" s="116"/>
      <c r="D5" s="116"/>
      <c r="E5" s="116"/>
      <c r="F5" s="116"/>
      <c r="G5" s="116"/>
    </row>
    <row r="6" spans="2:7" ht="7" customHeight="1" x14ac:dyDescent="0.35"/>
    <row r="7" spans="2:7" ht="18" customHeight="1" thickBot="1" x14ac:dyDescent="0.4">
      <c r="B7" s="135" t="s">
        <v>899</v>
      </c>
      <c r="C7" s="136"/>
      <c r="D7" s="136"/>
      <c r="E7" s="136"/>
      <c r="F7" s="136"/>
      <c r="G7" s="136"/>
    </row>
    <row r="8" spans="2:7" ht="7" customHeight="1" x14ac:dyDescent="0.35"/>
    <row r="9" spans="2:7" ht="34" customHeight="1" x14ac:dyDescent="0.35">
      <c r="B9" s="268" t="s">
        <v>900</v>
      </c>
      <c r="C9" s="268"/>
      <c r="D9" s="268"/>
      <c r="E9" s="268"/>
      <c r="F9" s="268"/>
      <c r="G9" s="268"/>
    </row>
    <row r="11" spans="2:7" x14ac:dyDescent="0.35">
      <c r="B11" s="137" t="s">
        <v>901</v>
      </c>
    </row>
    <row r="12" spans="2:7" ht="30" customHeight="1" x14ac:dyDescent="0.35">
      <c r="B12" s="269" t="str">
        <f>IF(_xlfn.XLOOKUP("Full Capacity-Close Hiring",tbl_runway_policy[label],tbl_runway_policy[breaches_floor_flag])="No","Yes — Full Capacity-Close hiring clears the Board floor with "&amp;TEXT(_xlfn.XLOOKUP("Full Capacity-Close Hiring",tbl_runway_policy[label],tbl_runway_policy[headroom_months]),"+0.0")&amp;" months of headroom, but pipeline — not capacity — is the binding constraint on New Logo ARR.","No — Full Capacity-Close hiring breaches the 24-month Board floor.")</f>
        <v>Yes — Full Capacity-Close hiring clears the Board floor with +0.7 months of headroom, but pipeline — not capacity — is the binding constraint on New Logo ARR.</v>
      </c>
      <c r="C12" s="269"/>
      <c r="D12" s="269"/>
      <c r="E12" s="269"/>
      <c r="F12" s="269"/>
      <c r="G12" s="269"/>
    </row>
    <row r="14" spans="2:7" ht="18" customHeight="1" thickBot="1" x14ac:dyDescent="0.4">
      <c r="B14" s="135" t="s">
        <v>902</v>
      </c>
      <c r="C14" s="136"/>
      <c r="D14" s="136"/>
      <c r="E14" s="136"/>
      <c r="F14" s="136"/>
      <c r="G14" s="136"/>
    </row>
    <row r="16" spans="2:7" ht="26" customHeight="1" x14ac:dyDescent="0.35">
      <c r="B16" s="138" t="s">
        <v>1089</v>
      </c>
      <c r="C16" s="138" t="s">
        <v>1091</v>
      </c>
      <c r="D16" s="138" t="s">
        <v>1093</v>
      </c>
      <c r="E16" s="138" t="s">
        <v>1095</v>
      </c>
      <c r="F16" s="138" t="s">
        <v>1097</v>
      </c>
      <c r="G16" s="138"/>
    </row>
    <row r="17" spans="2:7" ht="30" customHeight="1" x14ac:dyDescent="0.35">
      <c r="B17" s="178" t="s">
        <v>1090</v>
      </c>
      <c r="C17" s="179" t="s">
        <v>1092</v>
      </c>
      <c r="D17" s="179" t="s">
        <v>1094</v>
      </c>
      <c r="E17" s="179" t="s">
        <v>1096</v>
      </c>
      <c r="F17" s="179" t="s">
        <v>1098</v>
      </c>
      <c r="G17" s="179"/>
    </row>
    <row r="18" spans="2:7" ht="25.5" customHeight="1" x14ac:dyDescent="0.35">
      <c r="B18" s="273" t="s">
        <v>1099</v>
      </c>
      <c r="C18" s="273"/>
      <c r="D18" s="273"/>
      <c r="E18" s="273"/>
      <c r="F18" s="273"/>
      <c r="G18" s="273"/>
    </row>
    <row r="19" spans="2:7" ht="18" customHeight="1" thickBot="1" x14ac:dyDescent="0.4">
      <c r="B19" s="135" t="s">
        <v>904</v>
      </c>
      <c r="C19" s="136"/>
      <c r="D19" s="136"/>
      <c r="E19" s="136"/>
      <c r="F19" s="136"/>
      <c r="G19" s="136"/>
    </row>
    <row r="21" spans="2:7" ht="26" customHeight="1" x14ac:dyDescent="0.35">
      <c r="B21" s="139" t="s">
        <v>905</v>
      </c>
      <c r="C21" s="270" t="s">
        <v>906</v>
      </c>
      <c r="D21" s="270"/>
      <c r="E21" s="270"/>
      <c r="F21" s="270"/>
      <c r="G21" s="270"/>
    </row>
    <row r="22" spans="2:7" ht="17.399999999999999" customHeight="1" x14ac:dyDescent="0.35">
      <c r="B22" s="140">
        <v>1234</v>
      </c>
      <c r="C22" s="271" t="s">
        <v>907</v>
      </c>
      <c r="D22" s="271"/>
      <c r="E22" s="271"/>
      <c r="F22" s="271"/>
      <c r="G22" s="271"/>
    </row>
    <row r="23" spans="2:7" ht="17.399999999999999" customHeight="1" x14ac:dyDescent="0.35">
      <c r="B23" s="141">
        <v>1234</v>
      </c>
      <c r="C23" s="271" t="s">
        <v>908</v>
      </c>
      <c r="D23" s="271"/>
      <c r="E23" s="271"/>
      <c r="F23" s="271"/>
      <c r="G23" s="271"/>
    </row>
    <row r="24" spans="2:7" ht="17.399999999999999" customHeight="1" x14ac:dyDescent="0.35">
      <c r="B24" s="142">
        <v>1234</v>
      </c>
      <c r="C24" s="271" t="s">
        <v>909</v>
      </c>
      <c r="D24" s="271"/>
      <c r="E24" s="271"/>
      <c r="F24" s="271"/>
      <c r="G24" s="271"/>
    </row>
    <row r="25" spans="2:7" ht="17.399999999999999" customHeight="1" x14ac:dyDescent="0.35">
      <c r="B25" s="143">
        <v>1234</v>
      </c>
      <c r="C25" s="271" t="s">
        <v>910</v>
      </c>
      <c r="D25" s="271"/>
      <c r="E25" s="271"/>
      <c r="F25" s="271"/>
      <c r="G25" s="271"/>
    </row>
    <row r="26" spans="2:7" ht="17.399999999999999" customHeight="1" x14ac:dyDescent="0.35">
      <c r="B26" s="144">
        <v>1234</v>
      </c>
      <c r="C26" s="271" t="s">
        <v>911</v>
      </c>
      <c r="D26" s="271"/>
      <c r="E26" s="271"/>
      <c r="F26" s="271"/>
      <c r="G26" s="271"/>
    </row>
    <row r="27" spans="2:7" ht="17.399999999999999" customHeight="1" x14ac:dyDescent="0.35">
      <c r="B27" s="145" t="s">
        <v>502</v>
      </c>
      <c r="C27" s="271" t="s">
        <v>912</v>
      </c>
      <c r="D27" s="271"/>
      <c r="E27" s="271"/>
      <c r="F27" s="271"/>
      <c r="G27" s="271"/>
    </row>
    <row r="29" spans="2:7" ht="25.5" customHeight="1" x14ac:dyDescent="0.35">
      <c r="B29" s="274" t="s">
        <v>913</v>
      </c>
      <c r="C29" s="274"/>
      <c r="D29" s="274"/>
      <c r="E29" s="274"/>
      <c r="F29" s="274"/>
      <c r="G29" s="274"/>
    </row>
    <row r="31" spans="2:7" ht="18" customHeight="1" thickBot="1" x14ac:dyDescent="0.4">
      <c r="B31" s="135" t="s">
        <v>914</v>
      </c>
      <c r="C31" s="136"/>
      <c r="D31" s="136"/>
      <c r="E31" s="136"/>
      <c r="F31" s="136"/>
      <c r="G31" s="136"/>
    </row>
    <row r="33" spans="2:7" ht="26" customHeight="1" x14ac:dyDescent="0.35">
      <c r="B33" s="139" t="s">
        <v>915</v>
      </c>
      <c r="C33" s="270" t="s">
        <v>916</v>
      </c>
      <c r="D33" s="270"/>
      <c r="E33" s="270"/>
      <c r="F33" s="270"/>
      <c r="G33" s="270"/>
    </row>
    <row r="34" spans="2:7" ht="17.399999999999999" customHeight="1" x14ac:dyDescent="0.35">
      <c r="B34" s="146" t="s">
        <v>929</v>
      </c>
      <c r="C34" s="271" t="s">
        <v>917</v>
      </c>
      <c r="D34" s="271"/>
      <c r="E34" s="271"/>
      <c r="F34" s="271"/>
      <c r="G34" s="271"/>
    </row>
    <row r="35" spans="2:7" ht="17" customHeight="1" x14ac:dyDescent="0.35">
      <c r="B35" s="146" t="s">
        <v>1102</v>
      </c>
      <c r="C35" s="272" t="s">
        <v>1103</v>
      </c>
      <c r="D35" s="272"/>
      <c r="E35" s="272"/>
      <c r="F35" s="272"/>
      <c r="G35" s="272"/>
    </row>
    <row r="36" spans="2:7" ht="17" customHeight="1" x14ac:dyDescent="0.35">
      <c r="B36" s="146" t="s">
        <v>1100</v>
      </c>
      <c r="C36" s="272" t="s">
        <v>1101</v>
      </c>
      <c r="D36" s="272"/>
      <c r="E36" s="272"/>
      <c r="F36" s="272"/>
      <c r="G36" s="272"/>
    </row>
    <row r="37" spans="2:7" ht="17.399999999999999" customHeight="1" x14ac:dyDescent="0.35">
      <c r="B37" s="146" t="s">
        <v>930</v>
      </c>
      <c r="C37" s="271" t="s">
        <v>918</v>
      </c>
      <c r="D37" s="271"/>
      <c r="E37" s="271"/>
      <c r="F37" s="271"/>
      <c r="G37" s="271"/>
    </row>
    <row r="38" spans="2:7" ht="17.399999999999999" customHeight="1" x14ac:dyDescent="0.35">
      <c r="B38" s="146" t="s">
        <v>931</v>
      </c>
      <c r="C38" s="271" t="s">
        <v>919</v>
      </c>
      <c r="D38" s="271"/>
      <c r="E38" s="271"/>
      <c r="F38" s="271"/>
      <c r="G38" s="271"/>
    </row>
    <row r="39" spans="2:7" ht="17.399999999999999" customHeight="1" x14ac:dyDescent="0.35">
      <c r="B39" s="146" t="s">
        <v>932</v>
      </c>
      <c r="C39" s="271" t="s">
        <v>920</v>
      </c>
      <c r="D39" s="271"/>
      <c r="E39" s="271"/>
      <c r="F39" s="271"/>
      <c r="G39" s="271"/>
    </row>
    <row r="40" spans="2:7" ht="17.399999999999999" customHeight="1" x14ac:dyDescent="0.35">
      <c r="B40" s="146" t="s">
        <v>933</v>
      </c>
      <c r="C40" s="271" t="s">
        <v>921</v>
      </c>
      <c r="D40" s="271"/>
      <c r="E40" s="271"/>
      <c r="F40" s="271"/>
      <c r="G40" s="271"/>
    </row>
    <row r="41" spans="2:7" ht="17.399999999999999" customHeight="1" x14ac:dyDescent="0.35">
      <c r="B41" s="146" t="s">
        <v>903</v>
      </c>
      <c r="C41" s="271" t="s">
        <v>922</v>
      </c>
      <c r="D41" s="271"/>
      <c r="E41" s="271"/>
      <c r="F41" s="271"/>
      <c r="G41" s="271"/>
    </row>
    <row r="42" spans="2:7" ht="17.399999999999999" customHeight="1" x14ac:dyDescent="0.35">
      <c r="B42" s="146" t="s">
        <v>934</v>
      </c>
      <c r="C42" s="271" t="s">
        <v>923</v>
      </c>
      <c r="D42" s="271"/>
      <c r="E42" s="271"/>
      <c r="F42" s="271"/>
      <c r="G42" s="271"/>
    </row>
    <row r="43" spans="2:7" ht="17.399999999999999" customHeight="1" x14ac:dyDescent="0.35">
      <c r="B43" s="146" t="s">
        <v>935</v>
      </c>
      <c r="C43" s="271" t="s">
        <v>924</v>
      </c>
      <c r="D43" s="271"/>
      <c r="E43" s="271"/>
      <c r="F43" s="271"/>
      <c r="G43" s="271"/>
    </row>
    <row r="44" spans="2:7" ht="17.399999999999999" customHeight="1" x14ac:dyDescent="0.35">
      <c r="B44" s="146" t="s">
        <v>936</v>
      </c>
      <c r="C44" s="271" t="s">
        <v>925</v>
      </c>
      <c r="D44" s="271"/>
      <c r="E44" s="271"/>
      <c r="F44" s="271"/>
      <c r="G44" s="271"/>
    </row>
    <row r="45" spans="2:7" ht="17.399999999999999" customHeight="1" x14ac:dyDescent="0.35">
      <c r="B45" s="146" t="s">
        <v>937</v>
      </c>
      <c r="C45" s="271" t="s">
        <v>926</v>
      </c>
      <c r="D45" s="271"/>
      <c r="E45" s="271"/>
      <c r="F45" s="271"/>
      <c r="G45" s="271"/>
    </row>
    <row r="46" spans="2:7" ht="17.399999999999999" customHeight="1" x14ac:dyDescent="0.35">
      <c r="B46" s="146" t="s">
        <v>938</v>
      </c>
      <c r="C46" s="271" t="s">
        <v>927</v>
      </c>
      <c r="D46" s="271"/>
      <c r="E46" s="271"/>
      <c r="F46" s="271"/>
      <c r="G46" s="271"/>
    </row>
    <row r="48" spans="2:7" x14ac:dyDescent="0.35">
      <c r="B48" s="134" t="s">
        <v>928</v>
      </c>
    </row>
  </sheetData>
  <mergeCells count="25">
    <mergeCell ref="C35:G35"/>
    <mergeCell ref="C36:G36"/>
    <mergeCell ref="B18:G18"/>
    <mergeCell ref="C43:G43"/>
    <mergeCell ref="C44:G44"/>
    <mergeCell ref="C34:G34"/>
    <mergeCell ref="C24:G24"/>
    <mergeCell ref="C25:G25"/>
    <mergeCell ref="C26:G26"/>
    <mergeCell ref="C27:G27"/>
    <mergeCell ref="B29:G29"/>
    <mergeCell ref="C33:G33"/>
    <mergeCell ref="C45:G45"/>
    <mergeCell ref="C46:G46"/>
    <mergeCell ref="C37:G37"/>
    <mergeCell ref="C38:G38"/>
    <mergeCell ref="C39:G39"/>
    <mergeCell ref="C40:G40"/>
    <mergeCell ref="C41:G41"/>
    <mergeCell ref="C42:G42"/>
    <mergeCell ref="B9:G9"/>
    <mergeCell ref="B12:G12"/>
    <mergeCell ref="C21:G21"/>
    <mergeCell ref="C22:G22"/>
    <mergeCell ref="C23:G23"/>
  </mergeCells>
  <hyperlinks>
    <hyperlink ref="B34" location="'Executive Summary'!A1" display="Executive Summary" xr:uid="{E60E08BD-5361-4E7F-879A-28EC0561238B}"/>
    <hyperlink ref="B37" location="'Assumptions'!A1" display="Assumptions" xr:uid="{740DD0DD-CCD6-4F07-99AA-C8CC9D5DABF6}"/>
    <hyperlink ref="B38" location="'ARR &amp; Retention'!A1" display="ARR &amp; Retention" xr:uid="{1F607B1D-2FC0-4D02-BF14-06591044B77C}"/>
    <hyperlink ref="B39" location="'GTM'!A1" display="GTM" xr:uid="{AF6A266C-1344-4C49-AA13-AF03FC400A35}"/>
    <hyperlink ref="B40" location="'Forecast'!A1" display="Forecast" xr:uid="{ADC68AD9-D11A-49E8-931D-16DFF0246C8D}"/>
    <hyperlink ref="B41" location="'P&amp;L'!A1" display="P&amp;L" xr:uid="{E0ECAB56-AF3B-44EF-A572-77B752FC32CE}"/>
    <hyperlink ref="B42" location="'Budget Bridge'!A1" display="Budget Bridge" xr:uid="{A4C5A6BA-8A2F-4205-B4F9-088D49760211}"/>
    <hyperlink ref="B43" location="'Scenarios'!A1" display="Scenarios" xr:uid="{77B28FBF-A9C5-4982-AD0D-8B0B3D43DEF9}"/>
    <hyperlink ref="B44" location="'Runway &amp; Hiring'!A1" display="Runway &amp; Hiring" xr:uid="{FB83902D-D1C1-4C45-A4D3-930D24E56CC4}"/>
    <hyperlink ref="B45" location="'Accounting'!A1" display="Accounting" xr:uid="{9B3DA230-AAE9-4C57-9A4B-8E23414C5392}"/>
    <hyperlink ref="B46" location="'Controls'!A1" display="Controls" xr:uid="{78BF64A4-BCFF-46E3-A740-F018C2960DBD}"/>
    <hyperlink ref="B36" location="'Forecast Drivers'!A1" display="Forecast Drivers" xr:uid="{4C95CD8C-BEF7-4C56-8ED6-C4B6E7119C47}"/>
    <hyperlink ref="B35" location="'Cash Flow'!A1" display="Cash Flow" xr:uid="{6C8DB048-151E-4E2B-BB50-1A4722F4D742}"/>
  </hyperlinks>
  <pageMargins left="0.19444444444444445" right="0.19444444444444445" top="0.27777777777777779" bottom="0.27777777777777779" header="0.3" footer="0.3"/>
  <pageSetup scale="94"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B1:Y60"/>
  <sheetViews>
    <sheetView showGridLines="0" zoomScaleNormal="100" workbookViewId="0"/>
  </sheetViews>
  <sheetFormatPr defaultRowHeight="14" customHeight="1" x14ac:dyDescent="0.35"/>
  <cols>
    <col min="1" max="1" width="1.81640625" customWidth="1"/>
    <col min="2" max="11" width="14.1796875" customWidth="1"/>
    <col min="12" max="12" width="2" customWidth="1"/>
    <col min="13" max="21" width="10.453125" customWidth="1"/>
  </cols>
  <sheetData>
    <row r="1" spans="2:25" ht="24" customHeight="1" x14ac:dyDescent="0.35">
      <c r="B1" s="37" t="s">
        <v>0</v>
      </c>
      <c r="K1" s="147" t="s">
        <v>939</v>
      </c>
    </row>
    <row r="2" spans="2:25" ht="15" customHeight="1" x14ac:dyDescent="0.35">
      <c r="B2" s="38" t="s">
        <v>1</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0"/>
      <c r="I5" s="40"/>
      <c r="J5" s="40"/>
      <c r="K5" s="40"/>
      <c r="L5" s="46"/>
      <c r="M5" s="46"/>
      <c r="N5" s="46"/>
      <c r="O5" s="46"/>
      <c r="P5" s="46"/>
      <c r="Q5" s="46"/>
      <c r="R5" s="46"/>
      <c r="S5" s="46"/>
      <c r="T5" s="46"/>
      <c r="U5" s="46"/>
      <c r="V5" s="46"/>
      <c r="W5" s="46"/>
      <c r="X5" s="46"/>
      <c r="Y5" s="46"/>
    </row>
    <row r="6" spans="2:25" ht="7" customHeight="1" x14ac:dyDescent="0.35"/>
    <row r="7" spans="2:25" ht="18" customHeight="1" thickBot="1" x14ac:dyDescent="0.4">
      <c r="B7" s="21" t="s">
        <v>3</v>
      </c>
      <c r="C7" s="41"/>
      <c r="D7" s="41"/>
      <c r="E7" s="41"/>
      <c r="F7" s="41"/>
      <c r="G7" s="41"/>
      <c r="H7" s="41"/>
      <c r="I7" s="288" t="str">
        <f>"SCENARIO:  "&amp;UPPER('Forecast Drivers'!$D$10)</f>
        <v>SCENARIO:  BASE</v>
      </c>
      <c r="J7" s="289"/>
      <c r="K7" s="289"/>
    </row>
    <row r="8" spans="2:25" ht="5" customHeight="1" x14ac:dyDescent="0.35"/>
    <row r="9" spans="2:25" ht="13" customHeight="1" x14ac:dyDescent="0.35">
      <c r="B9" s="283" t="s">
        <v>1118</v>
      </c>
      <c r="C9" s="283"/>
      <c r="D9" s="282" t="s">
        <v>4</v>
      </c>
      <c r="E9" s="283"/>
      <c r="F9" s="282" t="s">
        <v>5</v>
      </c>
      <c r="G9" s="283"/>
      <c r="H9" s="282" t="s">
        <v>1119</v>
      </c>
      <c r="I9" s="283"/>
      <c r="J9" s="282" t="s">
        <v>1120</v>
      </c>
      <c r="K9" s="283"/>
    </row>
    <row r="10" spans="2:25" ht="22" customHeight="1" x14ac:dyDescent="0.35">
      <c r="B10" s="290">
        <f>'Forecast Drivers'!$I$82</f>
        <v>34816416.564797632</v>
      </c>
      <c r="C10" s="290"/>
      <c r="D10" s="292">
        <f>Forecast!$O$23</f>
        <v>32790970.251651369</v>
      </c>
      <c r="E10" s="290"/>
      <c r="F10" s="293">
        <f>'P&amp;L'!$D$41+'Cash Flow'!$J$39</f>
        <v>-5713689.1711312402</v>
      </c>
      <c r="G10" s="294"/>
      <c r="H10" s="292">
        <f>'Cash Flow'!$I$52</f>
        <v>18845495.342542991</v>
      </c>
      <c r="I10" s="290"/>
      <c r="J10" s="284">
        <f>_xlfn.XLOOKUP('Forecast Drivers'!$D$10,tbl_runway_policy[path],tbl_runway_policy[policy_runway_months])</f>
        <v>25.647058823529409</v>
      </c>
      <c r="K10" s="285"/>
    </row>
    <row r="11" spans="2:25" ht="6" customHeight="1" x14ac:dyDescent="0.35">
      <c r="B11" s="291">
        <f>_xlfn.XLOOKUP("Exit ARR",tbl_mgmt_variance[metric_label],tbl_mgmt_variance[variance_pct])</f>
        <v>-7.3768282641941796E-2</v>
      </c>
      <c r="C11" s="287"/>
      <c r="D11" s="286">
        <f>_xlfn.XLOOKUP("Revenue",tbl_mgmt_variance[metric_label],tbl_mgmt_variance[variance_pct])</f>
        <v>-2.5025015198548599E-2</v>
      </c>
      <c r="E11" s="287"/>
      <c r="F11" s="286">
        <f>_xlfn.XLOOKUP("Operating Income / (Loss)",tbl_mgmt_variance[metric_label],tbl_mgmt_variance[variance_pct])</f>
        <v>-1.5682661192957401E-2</v>
      </c>
      <c r="G11" s="287"/>
      <c r="H11" s="295"/>
      <c r="I11" s="287"/>
      <c r="J11" s="286">
        <f>_xlfn.XLOOKUP('Forecast Drivers'!$D$10,tbl_runway_policy[path],tbl_runway_policy[headroom_months])/_xlfn.XLOOKUP('Forecast Drivers'!$D$10,tbl_runway_policy[path],tbl_runway_policy[board_runway_floor_months])</f>
        <v>6.8627450980392204E-2</v>
      </c>
      <c r="K11" s="287"/>
    </row>
    <row r="12" spans="2:25" ht="13" customHeight="1" x14ac:dyDescent="0.35">
      <c r="B12" s="281" t="str">
        <f>"vs Budget "&amp;TEXT('Forecast Drivers'!$I$82-_xlfn.XLOOKUP("Exit ARR",tbl_mgmt_variance[metric_label],tbl_mgmt_variance[budget_amount]),"+$#,##0.0,,""M"";-$#,##0.0,,""M""")</f>
        <v>vs Budget -$2.8M</v>
      </c>
      <c r="C12" s="281"/>
      <c r="D12" s="280" t="str">
        <f>"vs Budget "&amp;TEXT(Forecast!$O$23-_xlfn.XLOOKUP("Revenue",tbl_mgmt_variance[metric_label],tbl_mgmt_variance[budget_amount]),"+$#,##0.0,,""M"";-$#,##0.0,,""M""")</f>
        <v>vs Budget -$0.8M</v>
      </c>
      <c r="E12" s="281"/>
      <c r="F12" s="280" t="str">
        <f>"operating margin "&amp;TEXT(('P&amp;L'!$D$41+'Cash Flow'!$J$39)/Forecast!$O$23,"0.0%")</f>
        <v>operating margin -17.4%</v>
      </c>
      <c r="G12" s="281"/>
      <c r="H12" s="280" t="str">
        <f>"from "&amp;TEXT(_xlfn.XLOOKUP("Cash at 30 June 2026",Assumptions!$B$11:$B$37,Assumptions!$C$11:$C$37),"$#,##0.0,,""M""")&amp;" at Jun-26"</f>
        <v>from $21.8M at Jun-26</v>
      </c>
      <c r="I12" s="281"/>
      <c r="J12" s="280" t="str">
        <f>"floor 24.0 mo   "&amp;TEXT(_xlfn.XLOOKUP('Forecast Drivers'!$D$10,tbl_runway_policy[path],tbl_runway_policy[headroom_months]),"+0.0;-0.0")&amp;" mo headroom"</f>
        <v>floor 24.0 mo   +1.6 mo headroom</v>
      </c>
      <c r="K12" s="281"/>
    </row>
    <row r="13" spans="2:25" ht="5" customHeight="1" x14ac:dyDescent="0.35">
      <c r="B13" s="205"/>
      <c r="C13" s="116"/>
      <c r="D13" s="205"/>
      <c r="E13" s="116"/>
      <c r="F13" s="205"/>
      <c r="G13" s="116"/>
      <c r="H13" s="205"/>
      <c r="I13" s="116"/>
      <c r="J13" s="205"/>
      <c r="K13" s="116"/>
    </row>
    <row r="14" spans="2:25" ht="7" customHeight="1" x14ac:dyDescent="0.35">
      <c r="B14" s="190"/>
      <c r="D14" s="22"/>
      <c r="F14" s="22"/>
      <c r="H14" s="22"/>
      <c r="J14" s="22"/>
    </row>
    <row r="15" spans="2:25" ht="18" customHeight="1" thickBot="1" x14ac:dyDescent="0.4">
      <c r="B15" s="21" t="s">
        <v>1140</v>
      </c>
      <c r="C15" s="206"/>
      <c r="D15" s="206"/>
      <c r="E15" s="206"/>
      <c r="F15" s="206"/>
      <c r="G15" s="206"/>
      <c r="H15" s="206"/>
      <c r="I15" s="206"/>
      <c r="J15" s="206"/>
      <c r="K15" s="206"/>
    </row>
    <row r="16" spans="2:25" ht="15" customHeight="1" x14ac:dyDescent="0.35">
      <c r="B16" s="22"/>
      <c r="D16" s="22"/>
      <c r="F16" s="22"/>
      <c r="H16" s="22"/>
      <c r="J16" s="22"/>
    </row>
    <row r="17" spans="2:11" ht="15" customHeight="1" x14ac:dyDescent="0.35">
      <c r="B17" s="22"/>
      <c r="D17" s="22"/>
      <c r="F17" s="22"/>
      <c r="H17" s="22"/>
      <c r="J17" s="22"/>
    </row>
    <row r="18" spans="2:11" ht="15" customHeight="1" x14ac:dyDescent="0.35">
      <c r="B18" s="22"/>
      <c r="D18" s="22"/>
      <c r="F18" s="22"/>
      <c r="H18" s="22"/>
      <c r="J18" s="22"/>
    </row>
    <row r="19" spans="2:11" ht="15" customHeight="1" x14ac:dyDescent="0.35">
      <c r="B19" s="22"/>
      <c r="D19" s="22"/>
      <c r="F19" s="22"/>
      <c r="H19" s="22"/>
      <c r="J19" s="22"/>
    </row>
    <row r="20" spans="2:11" ht="15" customHeight="1" x14ac:dyDescent="0.35">
      <c r="B20" s="22"/>
      <c r="D20" s="22"/>
      <c r="F20" s="22"/>
      <c r="H20" s="22"/>
      <c r="J20" s="22"/>
    </row>
    <row r="21" spans="2:11" ht="15" customHeight="1" x14ac:dyDescent="0.35">
      <c r="B21" s="22"/>
      <c r="D21" s="22"/>
      <c r="F21" s="22"/>
      <c r="H21" s="22"/>
      <c r="J21" s="22"/>
    </row>
    <row r="22" spans="2:11" ht="15" customHeight="1" x14ac:dyDescent="0.35">
      <c r="B22" s="22"/>
      <c r="D22" s="22"/>
      <c r="F22" s="22"/>
      <c r="H22" s="22"/>
      <c r="J22" s="22"/>
    </row>
    <row r="23" spans="2:11" ht="15" customHeight="1" x14ac:dyDescent="0.35">
      <c r="B23" s="22"/>
      <c r="D23" s="22"/>
      <c r="F23" s="22"/>
      <c r="H23" s="22"/>
      <c r="J23" s="22"/>
    </row>
    <row r="24" spans="2:11" ht="15" customHeight="1" x14ac:dyDescent="0.35">
      <c r="B24" s="22"/>
      <c r="D24" s="22"/>
      <c r="F24" s="22"/>
      <c r="H24" s="22"/>
      <c r="J24" s="22"/>
    </row>
    <row r="25" spans="2:11" ht="15" customHeight="1" x14ac:dyDescent="0.35">
      <c r="B25" s="22"/>
      <c r="D25" s="22"/>
      <c r="F25" s="22"/>
      <c r="H25" s="22"/>
      <c r="J25" s="22"/>
    </row>
    <row r="26" spans="2:11" ht="15" customHeight="1" x14ac:dyDescent="0.35">
      <c r="B26" s="22"/>
      <c r="D26" s="22"/>
      <c r="F26" s="22"/>
      <c r="H26" s="22"/>
      <c r="J26" s="22"/>
    </row>
    <row r="27" spans="2:11" ht="15" customHeight="1" x14ac:dyDescent="0.35">
      <c r="B27" s="22"/>
      <c r="D27" s="22"/>
      <c r="F27" s="22"/>
      <c r="H27" s="22"/>
      <c r="J27" s="22"/>
    </row>
    <row r="28" spans="2:11" ht="15" customHeight="1" x14ac:dyDescent="0.35">
      <c r="B28" s="22"/>
      <c r="D28" s="22"/>
      <c r="F28" s="22"/>
      <c r="H28" s="22"/>
      <c r="J28" s="22"/>
    </row>
    <row r="29" spans="2:11" ht="15" customHeight="1" x14ac:dyDescent="0.35">
      <c r="B29" s="193"/>
      <c r="D29" s="192"/>
      <c r="F29" s="191"/>
      <c r="H29" s="193"/>
      <c r="J29" s="194"/>
    </row>
    <row r="30" spans="2:11" ht="7" customHeight="1" x14ac:dyDescent="0.35">
      <c r="B30" s="22"/>
      <c r="D30" s="22"/>
      <c r="F30" s="22"/>
      <c r="H30" s="22"/>
      <c r="J30" s="22"/>
    </row>
    <row r="31" spans="2:11" ht="13" customHeight="1" x14ac:dyDescent="0.35">
      <c r="B31" s="207" t="str">
        <f>"What moved Dec-2026 Exit ARR:   Board Budget "&amp;TEXT(Chart_Data!$C$129,"$#,##0.0,,""M""")&amp;"   →   Base reforecast "&amp;TEXT(Chart_Data!$C$134,"$#,##0.0,,""M""")</f>
        <v>What moved Dec-2026 Exit ARR:   Board Budget $37.6M   →   Base reforecast $34.8M</v>
      </c>
      <c r="C31" s="208"/>
      <c r="D31" s="209"/>
      <c r="E31" s="208"/>
      <c r="F31" s="209"/>
      <c r="G31" s="208"/>
      <c r="H31" s="207" t="s">
        <v>1141</v>
      </c>
      <c r="I31" s="208"/>
      <c r="J31" s="209"/>
      <c r="K31" s="208"/>
    </row>
    <row r="32" spans="2:11" ht="15" customHeight="1" x14ac:dyDescent="0.35"/>
    <row r="33" spans="2:11" ht="15" customHeight="1" x14ac:dyDescent="0.35">
      <c r="B33" s="195"/>
    </row>
    <row r="34" spans="2:11" ht="15" customHeight="1" x14ac:dyDescent="0.35">
      <c r="B34" s="196"/>
      <c r="C34" s="196"/>
      <c r="D34" s="161"/>
      <c r="E34" s="161"/>
      <c r="F34" s="161"/>
      <c r="G34" s="161"/>
      <c r="H34" s="161"/>
      <c r="I34" s="161"/>
      <c r="J34" s="161"/>
      <c r="K34" s="161"/>
    </row>
    <row r="35" spans="2:11" ht="15" customHeight="1" x14ac:dyDescent="0.35">
      <c r="B35" s="197"/>
      <c r="C35" s="197"/>
      <c r="D35" s="161"/>
      <c r="E35" s="161"/>
      <c r="F35" s="161"/>
      <c r="G35" s="161"/>
      <c r="H35" s="161"/>
      <c r="I35" s="161"/>
      <c r="J35" s="161"/>
      <c r="K35" s="161"/>
    </row>
    <row r="36" spans="2:11" ht="15" customHeight="1" x14ac:dyDescent="0.35">
      <c r="B36" s="198"/>
      <c r="C36" s="198"/>
      <c r="D36" s="161"/>
      <c r="E36" s="161"/>
      <c r="F36" s="161"/>
      <c r="G36" s="161"/>
      <c r="H36" s="161"/>
      <c r="I36" s="161"/>
      <c r="J36" s="161"/>
      <c r="K36" s="161"/>
    </row>
    <row r="37" spans="2:11" ht="15" customHeight="1" x14ac:dyDescent="0.35"/>
    <row r="38" spans="2:11" ht="15" customHeight="1" x14ac:dyDescent="0.35">
      <c r="B38" s="195"/>
    </row>
    <row r="39" spans="2:11" ht="15" customHeight="1" x14ac:dyDescent="0.35">
      <c r="B39" s="199"/>
      <c r="C39" s="200"/>
      <c r="D39" s="200"/>
      <c r="E39" s="200"/>
      <c r="F39" s="200"/>
      <c r="G39" s="200"/>
      <c r="H39" s="200"/>
      <c r="I39" s="200"/>
      <c r="J39" s="200"/>
      <c r="K39" s="200"/>
    </row>
    <row r="40" spans="2:11" ht="15" customHeight="1" x14ac:dyDescent="0.35">
      <c r="B40" s="157"/>
      <c r="E40" s="157"/>
      <c r="H40" s="157"/>
    </row>
    <row r="41" spans="2:11" ht="15" customHeight="1" x14ac:dyDescent="0.35">
      <c r="B41" s="201"/>
      <c r="D41" s="202"/>
      <c r="E41" s="201"/>
      <c r="G41" s="202"/>
      <c r="H41" s="201"/>
      <c r="J41" s="202"/>
      <c r="K41" s="203"/>
    </row>
    <row r="42" spans="2:11" ht="7" customHeight="1" x14ac:dyDescent="0.35">
      <c r="B42" s="157"/>
      <c r="E42" s="157"/>
      <c r="H42" s="157"/>
    </row>
    <row r="43" spans="2:11" ht="18" customHeight="1" thickBot="1" x14ac:dyDescent="0.4">
      <c r="B43" s="135" t="s">
        <v>1123</v>
      </c>
      <c r="C43" s="136"/>
      <c r="D43" s="136"/>
      <c r="E43" s="136"/>
      <c r="F43" s="136"/>
      <c r="G43" s="136"/>
      <c r="H43" s="136"/>
      <c r="I43" s="136"/>
      <c r="J43" s="136"/>
      <c r="K43" s="136"/>
    </row>
    <row r="44" spans="2:11" ht="17" customHeight="1" x14ac:dyDescent="0.35">
      <c r="B44" s="275" t="s">
        <v>1124</v>
      </c>
      <c r="C44" s="275"/>
      <c r="D44" s="276" t="str">
        <f>"FY2026 New Logo ARR is "&amp;TEXT(-_xlfn.XLOOKUP("New Logo ARR",tbl_mgmt_variance[metric_label],tbl_mgmt_variance[variance]),"$#,##0.0,,""M""")&amp;" below Budget. Pipeline, not sales capacity, is the binding constraint."</f>
        <v>FY2026 New Logo ARR is $2.8M below Budget. Pipeline, not sales capacity, is the binding constraint.</v>
      </c>
      <c r="E44" s="276"/>
      <c r="F44" s="276"/>
      <c r="G44" s="276"/>
      <c r="H44" s="276"/>
      <c r="I44" s="276"/>
      <c r="J44" s="276"/>
      <c r="K44" s="276"/>
    </row>
    <row r="45" spans="2:11" ht="17" customHeight="1" x14ac:dyDescent="0.35">
      <c r="B45" s="277" t="s">
        <v>1125</v>
      </c>
      <c r="C45" s="277"/>
      <c r="D45" s="272" t="str">
        <f>"Full Capacity-Close clears the floor at "&amp;TEXT(_xlfn.XLOOKUP("Full Capacity-Close Hiring",tbl_runway_policy[label],tbl_runway_policy[policy_runway_months]),"0.0")&amp;" months but returns "&amp;TEXT(_xlfn.XLOOKUP("Full Capacity-Close Hiring",tbl_hiring[case_label],tbl_hiring[dec_2027_incremental_arr])/-_xlfn.XLOOKUP("Full Capacity-Close Hiring",tbl_hiring[case_label],tbl_hiring[dec_2027_incremental_cash]),"0.00")&amp;"x incremental ARR per $1 of cash."</f>
        <v>Full Capacity-Close clears the floor at 24.7 months but returns 0.23x incremental ARR per $1 of cash.</v>
      </c>
      <c r="E45" s="272"/>
      <c r="F45" s="272"/>
      <c r="G45" s="272"/>
      <c r="H45" s="272"/>
      <c r="I45" s="272"/>
      <c r="J45" s="272"/>
      <c r="K45" s="272"/>
    </row>
    <row r="46" spans="2:11" ht="7" customHeight="1" x14ac:dyDescent="0.35"/>
    <row r="47" spans="2:11" ht="18" customHeight="1" thickBot="1" x14ac:dyDescent="0.4">
      <c r="B47" s="135" t="s">
        <v>1126</v>
      </c>
      <c r="C47" s="136"/>
      <c r="D47" s="136"/>
      <c r="E47" s="136"/>
      <c r="F47" s="136"/>
      <c r="G47" s="136"/>
      <c r="H47" s="136"/>
      <c r="I47" s="136"/>
      <c r="J47" s="136"/>
      <c r="K47" s="136"/>
    </row>
    <row r="48" spans="2:11" ht="22" customHeight="1" x14ac:dyDescent="0.35">
      <c r="B48" s="278" t="s">
        <v>1127</v>
      </c>
      <c r="C48" s="279"/>
      <c r="D48" s="279"/>
      <c r="E48" s="279"/>
      <c r="F48" s="279"/>
      <c r="G48" s="279"/>
      <c r="H48" s="279"/>
      <c r="I48" s="279"/>
      <c r="J48" s="279"/>
      <c r="K48" s="279"/>
    </row>
    <row r="49" spans="2:11" ht="13" customHeight="1" x14ac:dyDescent="0.35">
      <c r="B49" s="211" t="s">
        <v>1128</v>
      </c>
      <c r="C49" s="204"/>
      <c r="D49" s="204"/>
      <c r="E49" s="213" t="s">
        <v>1129</v>
      </c>
      <c r="F49" s="204"/>
      <c r="G49" s="204"/>
      <c r="H49" s="211" t="s">
        <v>1130</v>
      </c>
      <c r="I49" s="204"/>
      <c r="J49" s="204"/>
      <c r="K49" s="204"/>
    </row>
    <row r="50" spans="2:11" ht="20" customHeight="1" x14ac:dyDescent="0.35">
      <c r="B50" s="184">
        <f>_xlfn.XLOOKUP("Base",tbl_runway_policy[path],tbl_runway_policy[policy_runway_months])</f>
        <v>25.647058823529409</v>
      </c>
      <c r="C50" s="204"/>
      <c r="D50" s="210" t="str">
        <f>IF(_xlfn.XLOOKUP("Base",tbl_runway_policy[path],tbl_runway_policy[headroom_months])&lt;0,"FAIL","PASS")</f>
        <v>PASS</v>
      </c>
      <c r="E50" s="185">
        <f>_xlfn.XLOOKUP("Bear",tbl_runway_policy[path],tbl_runway_policy[policy_runway_months])</f>
        <v>23.539775051483051</v>
      </c>
      <c r="F50" s="204"/>
      <c r="G50" s="210" t="str">
        <f>IF(_xlfn.XLOOKUP("Bear",tbl_runway_policy[path],tbl_runway_policy[headroom_months])&lt;0,"FAIL","PASS")</f>
        <v>FAIL</v>
      </c>
      <c r="H50" s="184">
        <f>_xlfn.XLOOKUP("Base_FullClose",tbl_runway_policy[path],tbl_runway_policy[policy_runway_months])</f>
        <v>24.661059962432521</v>
      </c>
      <c r="I50" s="204"/>
      <c r="J50" s="204"/>
      <c r="K50" s="210" t="str">
        <f>IF(_xlfn.XLOOKUP("Base_FullClose",tbl_runway_policy[path],tbl_runway_policy[headroom_months])&lt;0,"FAIL","PASS")</f>
        <v>PASS</v>
      </c>
    </row>
    <row r="51" spans="2:11" ht="13" customHeight="1" x14ac:dyDescent="0.35">
      <c r="B51" s="212" t="str">
        <f>"Board reforecast  |  "&amp;TEXT(_xlfn.XLOOKUP("Base",tbl_runway_policy[path],tbl_runway_policy[headroom_months]),"+0.0;-0.0")&amp;" mo vs floor"</f>
        <v>Board reforecast  |  +1.6 mo vs floor</v>
      </c>
      <c r="C51" s="204"/>
      <c r="D51" s="204"/>
      <c r="E51" s="214" t="str">
        <f>"downside scenario  |  "&amp;TEXT(_xlfn.XLOOKUP("Bear",tbl_runway_policy[path],tbl_runway_policy[headroom_months]),"+0.0;-0.0")&amp;" mo vs floor"</f>
        <v>downside scenario  |  -0.5 mo vs floor</v>
      </c>
      <c r="F51" s="204"/>
      <c r="G51" s="204"/>
      <c r="H51" s="212" t="str">
        <f>"4 incremental hires  |  "&amp;TEXT(_xlfn.XLOOKUP("Base_FullClose",tbl_runway_policy[path],tbl_runway_policy[headroom_months]),"+0.0;-0.0")&amp;" mo vs floor"</f>
        <v>4 incremental hires  |  +0.7 mo vs floor</v>
      </c>
      <c r="I51" s="204"/>
      <c r="J51" s="204"/>
      <c r="K51" s="204"/>
    </row>
    <row r="52" spans="2:11" ht="5" customHeight="1" x14ac:dyDescent="0.35">
      <c r="B52" s="116"/>
      <c r="C52" s="116"/>
      <c r="D52" s="116"/>
      <c r="E52" s="116"/>
      <c r="F52" s="116"/>
      <c r="G52" s="116"/>
      <c r="H52" s="116"/>
      <c r="I52" s="116"/>
      <c r="J52" s="116"/>
      <c r="K52" s="116"/>
    </row>
    <row r="53" spans="2:11" ht="12" customHeight="1" x14ac:dyDescent="0.35">
      <c r="B53" s="134" t="s">
        <v>1131</v>
      </c>
    </row>
    <row r="54" spans="2:11" ht="15" customHeight="1" x14ac:dyDescent="0.35"/>
    <row r="55" spans="2:11" ht="15" customHeight="1" x14ac:dyDescent="0.35"/>
    <row r="56" spans="2:11" ht="15" customHeight="1" x14ac:dyDescent="0.35"/>
    <row r="57" spans="2:11" ht="15" customHeight="1" x14ac:dyDescent="0.35"/>
    <row r="58" spans="2:11" ht="15" customHeight="1" x14ac:dyDescent="0.35"/>
    <row r="59" spans="2:11" ht="15" customHeight="1" x14ac:dyDescent="0.35"/>
    <row r="60" spans="2:11" ht="15" customHeight="1" x14ac:dyDescent="0.35"/>
  </sheetData>
  <mergeCells count="26">
    <mergeCell ref="I7:K7"/>
    <mergeCell ref="B9:C9"/>
    <mergeCell ref="B10:C10"/>
    <mergeCell ref="B11:C11"/>
    <mergeCell ref="B12:C12"/>
    <mergeCell ref="D9:E9"/>
    <mergeCell ref="D10:E10"/>
    <mergeCell ref="D11:E11"/>
    <mergeCell ref="D12:E12"/>
    <mergeCell ref="F9:G9"/>
    <mergeCell ref="F10:G10"/>
    <mergeCell ref="F11:G11"/>
    <mergeCell ref="F12:G12"/>
    <mergeCell ref="H9:I9"/>
    <mergeCell ref="H10:I10"/>
    <mergeCell ref="H11:I11"/>
    <mergeCell ref="H12:I12"/>
    <mergeCell ref="J9:K9"/>
    <mergeCell ref="J10:K10"/>
    <mergeCell ref="J11:K11"/>
    <mergeCell ref="J12:K12"/>
    <mergeCell ref="B44:C44"/>
    <mergeCell ref="D44:K44"/>
    <mergeCell ref="B45:C45"/>
    <mergeCell ref="D45:K45"/>
    <mergeCell ref="B48:K48"/>
  </mergeCells>
  <conditionalFormatting sqref="B11">
    <cfRule type="dataBar" priority="1">
      <dataBar showValue="0">
        <cfvo type="num" val="-0.1"/>
        <cfvo type="num" val="0.1"/>
        <color rgb="FF1E6B3A"/>
      </dataBar>
      <extLst>
        <ext xmlns:x14="http://schemas.microsoft.com/office/spreadsheetml/2009/9/main" uri="{B025F937-C7B1-47D3-B67F-A62EFF666E3E}">
          <x14:id>{CFB88CE4-1517-49C8-9866-8A637210DEEA}</x14:id>
        </ext>
      </extLst>
    </cfRule>
  </conditionalFormatting>
  <conditionalFormatting sqref="D11">
    <cfRule type="dataBar" priority="2">
      <dataBar showValue="0">
        <cfvo type="num" val="-0.1"/>
        <cfvo type="num" val="0.1"/>
        <color rgb="FF1E6B3A"/>
      </dataBar>
      <extLst>
        <ext xmlns:x14="http://schemas.microsoft.com/office/spreadsheetml/2009/9/main" uri="{B025F937-C7B1-47D3-B67F-A62EFF666E3E}">
          <x14:id>{8386C642-6F3C-4835-9F3A-7944BA16651D}</x14:id>
        </ext>
      </extLst>
    </cfRule>
  </conditionalFormatting>
  <conditionalFormatting sqref="D50">
    <cfRule type="cellIs" dxfId="38" priority="5" operator="equal">
      <formula>"PASS"</formula>
    </cfRule>
    <cfRule type="cellIs" dxfId="37" priority="6" operator="equal">
      <formula>"FAIL"</formula>
    </cfRule>
  </conditionalFormatting>
  <conditionalFormatting sqref="F11">
    <cfRule type="dataBar" priority="3">
      <dataBar showValue="0">
        <cfvo type="num" val="-0.1"/>
        <cfvo type="num" val="0.1"/>
        <color rgb="FF1E6B3A"/>
      </dataBar>
      <extLst>
        <ext xmlns:x14="http://schemas.microsoft.com/office/spreadsheetml/2009/9/main" uri="{B025F937-C7B1-47D3-B67F-A62EFF666E3E}">
          <x14:id>{62A45A0E-13ED-434C-B689-ADC24A9CCCA8}</x14:id>
        </ext>
      </extLst>
    </cfRule>
  </conditionalFormatting>
  <conditionalFormatting sqref="G50">
    <cfRule type="cellIs" dxfId="36" priority="7" operator="equal">
      <formula>"PASS"</formula>
    </cfRule>
    <cfRule type="cellIs" dxfId="35" priority="8" operator="equal">
      <formula>"FAIL"</formula>
    </cfRule>
  </conditionalFormatting>
  <conditionalFormatting sqref="J11">
    <cfRule type="dataBar" priority="4">
      <dataBar showValue="0">
        <cfvo type="num" val="-0.1"/>
        <cfvo type="num" val="0.1"/>
        <color rgb="FF1E6B3A"/>
      </dataBar>
      <extLst>
        <ext xmlns:x14="http://schemas.microsoft.com/office/spreadsheetml/2009/9/main" uri="{B025F937-C7B1-47D3-B67F-A62EFF666E3E}">
          <x14:id>{C28526BF-2797-4E5F-A17B-C716A35FA02C}</x14:id>
        </ext>
      </extLst>
    </cfRule>
  </conditionalFormatting>
  <conditionalFormatting sqref="K50">
    <cfRule type="cellIs" dxfId="34" priority="9" operator="equal">
      <formula>"PASS"</formula>
    </cfRule>
    <cfRule type="cellIs" dxfId="33" priority="10" operator="equal">
      <formula>"FAIL"</formula>
    </cfRule>
  </conditionalFormatting>
  <hyperlinks>
    <hyperlink ref="K1" location="'Model Guide'!A1" display="← Model Guide" xr:uid="{6752BC05-B540-4309-9C2F-AB6B5391138D}"/>
  </hyperlinks>
  <pageMargins left="0.19444444444444445" right="0.19444444444444445" top="0.27777777777777779" bottom="0.27777777777777779" header="0.5" footer="0.5"/>
  <pageSetup scale="9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dataBar" id="{CFB88CE4-1517-49C8-9866-8A637210DEEA}">
            <x14:dataBar minLength="0" maxLength="100" gradient="0" axisPosition="middle">
              <x14:cfvo type="num">
                <xm:f>-0.1</xm:f>
              </x14:cfvo>
              <x14:cfvo type="num">
                <xm:f>0.1</xm:f>
              </x14:cfvo>
              <x14:negativeFillColor rgb="FF9C1F2E"/>
              <x14:axisColor rgb="FF000000"/>
            </x14:dataBar>
          </x14:cfRule>
          <xm:sqref>B11</xm:sqref>
        </x14:conditionalFormatting>
        <x14:conditionalFormatting xmlns:xm="http://schemas.microsoft.com/office/excel/2006/main">
          <x14:cfRule type="dataBar" id="{8386C642-6F3C-4835-9F3A-7944BA16651D}">
            <x14:dataBar minLength="0" maxLength="100" gradient="0" axisPosition="middle">
              <x14:cfvo type="num">
                <xm:f>-0.1</xm:f>
              </x14:cfvo>
              <x14:cfvo type="num">
                <xm:f>0.1</xm:f>
              </x14:cfvo>
              <x14:negativeFillColor rgb="FF9C1F2E"/>
              <x14:axisColor rgb="FF000000"/>
            </x14:dataBar>
          </x14:cfRule>
          <xm:sqref>D11</xm:sqref>
        </x14:conditionalFormatting>
        <x14:conditionalFormatting xmlns:xm="http://schemas.microsoft.com/office/excel/2006/main">
          <x14:cfRule type="dataBar" id="{62A45A0E-13ED-434C-B689-ADC24A9CCCA8}">
            <x14:dataBar minLength="0" maxLength="100" gradient="0" axisPosition="middle">
              <x14:cfvo type="num">
                <xm:f>-0.1</xm:f>
              </x14:cfvo>
              <x14:cfvo type="num">
                <xm:f>0.1</xm:f>
              </x14:cfvo>
              <x14:negativeFillColor rgb="FF9C1F2E"/>
              <x14:axisColor rgb="FF000000"/>
            </x14:dataBar>
          </x14:cfRule>
          <xm:sqref>F11</xm:sqref>
        </x14:conditionalFormatting>
        <x14:conditionalFormatting xmlns:xm="http://schemas.microsoft.com/office/excel/2006/main">
          <x14:cfRule type="dataBar" id="{C28526BF-2797-4E5F-A17B-C716A35FA02C}">
            <x14:dataBar minLength="0" maxLength="100" gradient="0" axisPosition="middle">
              <x14:cfvo type="num">
                <xm:f>-0.1</xm:f>
              </x14:cfvo>
              <x14:cfvo type="num">
                <xm:f>0.1</xm:f>
              </x14:cfvo>
              <x14:negativeFillColor rgb="FF9C1F2E"/>
              <x14:axisColor rgb="FF000000"/>
            </x14:dataBar>
          </x14:cfRule>
          <xm:sqref>J11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5E8C"/>
    <pageSetUpPr fitToPage="1"/>
  </sheetPr>
  <dimension ref="B1:Y127"/>
  <sheetViews>
    <sheetView showGridLines="0" zoomScaleNormal="10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12.1796875" customWidth="1"/>
    <col min="3" max="3" width="17.6328125" customWidth="1"/>
    <col min="4" max="4" width="14" customWidth="1"/>
    <col min="5" max="9" width="13" customWidth="1"/>
    <col min="10" max="10" width="14" customWidth="1"/>
    <col min="11" max="11" width="2" customWidth="1"/>
    <col min="12" max="20" width="10.453125" customWidth="1"/>
  </cols>
  <sheetData>
    <row r="1" spans="2:25" ht="24" customHeight="1" x14ac:dyDescent="0.35">
      <c r="B1" s="37" t="s">
        <v>0</v>
      </c>
      <c r="J1" s="147" t="s">
        <v>939</v>
      </c>
    </row>
    <row r="2" spans="2:25" ht="15" customHeight="1" x14ac:dyDescent="0.35">
      <c r="B2" s="38" t="s">
        <v>28</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0"/>
      <c r="I5" s="40"/>
      <c r="J5" s="40"/>
      <c r="K5" s="46"/>
      <c r="L5" s="46"/>
      <c r="M5" s="46"/>
      <c r="N5" s="46"/>
      <c r="O5" s="46"/>
      <c r="P5" s="46"/>
      <c r="Q5" s="46"/>
      <c r="R5" s="46"/>
      <c r="S5" s="46"/>
      <c r="T5" s="46"/>
      <c r="U5" s="46"/>
      <c r="V5" s="46"/>
      <c r="W5" s="46"/>
      <c r="X5" s="46"/>
      <c r="Y5" s="46"/>
    </row>
    <row r="6" spans="2:25" ht="7" customHeight="1" x14ac:dyDescent="0.35"/>
    <row r="7" spans="2:25" ht="18" customHeight="1" thickBot="1" x14ac:dyDescent="0.4">
      <c r="B7" s="21" t="s">
        <v>29</v>
      </c>
      <c r="C7" s="41"/>
      <c r="D7" s="41"/>
      <c r="E7" s="41"/>
      <c r="F7" s="41"/>
      <c r="G7" s="41"/>
      <c r="H7" s="41"/>
      <c r="I7" s="41"/>
      <c r="J7" s="41"/>
    </row>
    <row r="8" spans="2:25" ht="30" customHeight="1" x14ac:dyDescent="0.35">
      <c r="B8" s="296" t="s">
        <v>30</v>
      </c>
      <c r="C8" s="296"/>
      <c r="D8" s="296"/>
      <c r="E8" s="296"/>
      <c r="F8" s="296"/>
      <c r="G8" s="296"/>
      <c r="H8" s="296"/>
      <c r="I8" s="296"/>
      <c r="J8" s="296"/>
      <c r="K8" s="117"/>
      <c r="L8" s="117"/>
    </row>
    <row r="9" spans="2:25" ht="15" customHeight="1" x14ac:dyDescent="0.35">
      <c r="B9" s="22"/>
    </row>
    <row r="10" spans="2:25" ht="15" customHeight="1" x14ac:dyDescent="0.35">
      <c r="B10" s="22"/>
    </row>
    <row r="11" spans="2:25" ht="15" customHeight="1" x14ac:dyDescent="0.35">
      <c r="B11" s="22"/>
    </row>
    <row r="12" spans="2:25" ht="15" customHeight="1" x14ac:dyDescent="0.35">
      <c r="B12" s="22"/>
    </row>
    <row r="13" spans="2:25" ht="15" customHeight="1" x14ac:dyDescent="0.35">
      <c r="B13" s="22"/>
    </row>
    <row r="14" spans="2:25" ht="15" customHeight="1" x14ac:dyDescent="0.35">
      <c r="B14" s="22"/>
    </row>
    <row r="15" spans="2:25" ht="15" customHeight="1" x14ac:dyDescent="0.35">
      <c r="B15" s="22"/>
    </row>
    <row r="16" spans="2:25" ht="15" customHeight="1" x14ac:dyDescent="0.35">
      <c r="B16" s="22"/>
    </row>
    <row r="17" spans="2:10" ht="15" customHeight="1" x14ac:dyDescent="0.35">
      <c r="B17" s="22"/>
    </row>
    <row r="18" spans="2:10" ht="15" customHeight="1" x14ac:dyDescent="0.35">
      <c r="B18" s="22"/>
    </row>
    <row r="19" spans="2:10" ht="15" customHeight="1" x14ac:dyDescent="0.35">
      <c r="B19" s="22"/>
    </row>
    <row r="20" spans="2:10" ht="15" customHeight="1" x14ac:dyDescent="0.35">
      <c r="B20" s="22"/>
    </row>
    <row r="21" spans="2:10" ht="15" customHeight="1" x14ac:dyDescent="0.35">
      <c r="B21" s="22"/>
    </row>
    <row r="22" spans="2:10" ht="15" customHeight="1" x14ac:dyDescent="0.35">
      <c r="B22" s="22"/>
    </row>
    <row r="23" spans="2:10" ht="15" customHeight="1" x14ac:dyDescent="0.35">
      <c r="B23" s="22"/>
    </row>
    <row r="24" spans="2:10" ht="15" customHeight="1" x14ac:dyDescent="0.35">
      <c r="B24" s="22"/>
    </row>
    <row r="25" spans="2:10" ht="15" customHeight="1" x14ac:dyDescent="0.35">
      <c r="B25" s="22"/>
    </row>
    <row r="26" spans="2:10" ht="14.5" customHeight="1" x14ac:dyDescent="0.35">
      <c r="B26" s="274" t="s">
        <v>62</v>
      </c>
      <c r="C26" s="297"/>
      <c r="D26" s="297"/>
      <c r="E26" s="297"/>
      <c r="F26" s="297"/>
      <c r="G26" s="297"/>
      <c r="H26" s="297"/>
      <c r="I26" s="297"/>
      <c r="J26" s="297"/>
    </row>
    <row r="27" spans="2:10" ht="26" customHeight="1" x14ac:dyDescent="0.35">
      <c r="B27" s="215" t="s">
        <v>31</v>
      </c>
      <c r="C27" s="215" t="s">
        <v>32</v>
      </c>
      <c r="D27" s="216" t="s">
        <v>33</v>
      </c>
      <c r="E27" s="216" t="s">
        <v>34</v>
      </c>
      <c r="F27" s="216" t="s">
        <v>35</v>
      </c>
      <c r="G27" s="216" t="s">
        <v>36</v>
      </c>
      <c r="H27" s="216" t="s">
        <v>37</v>
      </c>
      <c r="I27" s="216" t="s">
        <v>38</v>
      </c>
      <c r="J27" s="216" t="s">
        <v>39</v>
      </c>
    </row>
    <row r="28" spans="2:10" ht="15" customHeight="1" x14ac:dyDescent="0.35">
      <c r="B28" s="217" t="s">
        <v>40</v>
      </c>
      <c r="C28" s="217" t="s">
        <v>41</v>
      </c>
      <c r="D28" s="218">
        <v>24495197.399999999</v>
      </c>
      <c r="E28" s="219">
        <v>763989.24</v>
      </c>
      <c r="F28" s="219">
        <v>208523.88</v>
      </c>
      <c r="G28" s="219">
        <v>5379</v>
      </c>
      <c r="H28" s="219">
        <v>-356906.4</v>
      </c>
      <c r="I28" s="219">
        <v>-433404.48</v>
      </c>
      <c r="J28" s="218">
        <v>24682778.640000001</v>
      </c>
    </row>
    <row r="29" spans="2:10" ht="15" customHeight="1" x14ac:dyDescent="0.35">
      <c r="B29" s="217" t="s">
        <v>42</v>
      </c>
      <c r="C29" s="217" t="s">
        <v>41</v>
      </c>
      <c r="D29" s="218">
        <v>24682778.640000001</v>
      </c>
      <c r="E29" s="219">
        <v>398202.84</v>
      </c>
      <c r="F29" s="219">
        <v>450903.12</v>
      </c>
      <c r="G29" s="219">
        <v>0</v>
      </c>
      <c r="H29" s="219">
        <v>-110046.24</v>
      </c>
      <c r="I29" s="219">
        <v>-189502.92</v>
      </c>
      <c r="J29" s="218">
        <v>25232335.440000001</v>
      </c>
    </row>
    <row r="30" spans="2:10" ht="15" customHeight="1" x14ac:dyDescent="0.35">
      <c r="B30" s="217" t="s">
        <v>43</v>
      </c>
      <c r="C30" s="217" t="s">
        <v>41</v>
      </c>
      <c r="D30" s="218">
        <v>25232335.440000001</v>
      </c>
      <c r="E30" s="219">
        <v>482289.00000000012</v>
      </c>
      <c r="F30" s="219">
        <v>339030.96</v>
      </c>
      <c r="G30" s="219">
        <v>7012.2</v>
      </c>
      <c r="H30" s="219">
        <v>-120597.12</v>
      </c>
      <c r="I30" s="219">
        <v>-125741.04</v>
      </c>
      <c r="J30" s="218">
        <v>25814329.440000001</v>
      </c>
    </row>
    <row r="31" spans="2:10" ht="15" customHeight="1" x14ac:dyDescent="0.35">
      <c r="B31" s="217" t="s">
        <v>44</v>
      </c>
      <c r="C31" s="217" t="s">
        <v>41</v>
      </c>
      <c r="D31" s="218">
        <v>25814329.440000001</v>
      </c>
      <c r="E31" s="219">
        <v>289522.08</v>
      </c>
      <c r="F31" s="219">
        <v>568274.88</v>
      </c>
      <c r="G31" s="219">
        <v>41077.32</v>
      </c>
      <c r="H31" s="219">
        <v>-140806.79999999999</v>
      </c>
      <c r="I31" s="219">
        <v>-142746.84</v>
      </c>
      <c r="J31" s="218">
        <v>26429650.079999998</v>
      </c>
    </row>
    <row r="32" spans="2:10" ht="15" customHeight="1" x14ac:dyDescent="0.35">
      <c r="B32" s="217" t="s">
        <v>45</v>
      </c>
      <c r="C32" s="217" t="s">
        <v>41</v>
      </c>
      <c r="D32" s="218">
        <v>26429650.079999998</v>
      </c>
      <c r="E32" s="219">
        <v>266066.15999999997</v>
      </c>
      <c r="F32" s="219">
        <v>214662.36</v>
      </c>
      <c r="G32" s="219">
        <v>12462.48</v>
      </c>
      <c r="H32" s="219">
        <v>-91199.88</v>
      </c>
      <c r="I32" s="219">
        <v>-240511.2</v>
      </c>
      <c r="J32" s="218">
        <v>26591130</v>
      </c>
    </row>
    <row r="33" spans="2:10" ht="15" customHeight="1" x14ac:dyDescent="0.35">
      <c r="B33" s="217" t="s">
        <v>46</v>
      </c>
      <c r="C33" s="217" t="s">
        <v>41</v>
      </c>
      <c r="D33" s="218">
        <v>26591130</v>
      </c>
      <c r="E33" s="219">
        <v>408324</v>
      </c>
      <c r="F33" s="219">
        <v>332059.56000000011</v>
      </c>
      <c r="G33" s="219">
        <v>0</v>
      </c>
      <c r="H33" s="219">
        <v>-45796.2</v>
      </c>
      <c r="I33" s="219">
        <v>-147946.44</v>
      </c>
      <c r="J33" s="218">
        <v>27137770.920000002</v>
      </c>
    </row>
    <row r="34" spans="2:10" ht="15" customHeight="1" x14ac:dyDescent="0.35">
      <c r="B34" s="217" t="s">
        <v>47</v>
      </c>
      <c r="C34" s="217" t="s">
        <v>41</v>
      </c>
      <c r="D34" s="218">
        <v>27137770.920000002</v>
      </c>
      <c r="E34" s="219">
        <v>148504.68</v>
      </c>
      <c r="F34" s="219">
        <v>364045.92</v>
      </c>
      <c r="G34" s="219">
        <v>2735.28</v>
      </c>
      <c r="H34" s="219">
        <v>-97174.92</v>
      </c>
      <c r="I34" s="219">
        <v>-88185</v>
      </c>
      <c r="J34" s="218">
        <v>27467696.879999999</v>
      </c>
    </row>
    <row r="35" spans="2:10" ht="15" customHeight="1" x14ac:dyDescent="0.35">
      <c r="B35" s="217" t="s">
        <v>48</v>
      </c>
      <c r="C35" s="217" t="s">
        <v>41</v>
      </c>
      <c r="D35" s="218">
        <v>27467696.879999999</v>
      </c>
      <c r="E35" s="219">
        <v>254568</v>
      </c>
      <c r="F35" s="219">
        <v>339460.67999999988</v>
      </c>
      <c r="G35" s="219">
        <v>2107.44</v>
      </c>
      <c r="H35" s="219">
        <v>-73086.12</v>
      </c>
      <c r="I35" s="219">
        <v>-197466.12</v>
      </c>
      <c r="J35" s="218">
        <v>27793280.760000002</v>
      </c>
    </row>
    <row r="36" spans="2:10" ht="15" customHeight="1" x14ac:dyDescent="0.35">
      <c r="B36" s="217" t="s">
        <v>49</v>
      </c>
      <c r="C36" s="217" t="s">
        <v>41</v>
      </c>
      <c r="D36" s="218">
        <v>27793280.760000002</v>
      </c>
      <c r="E36" s="219">
        <v>265998.84000000003</v>
      </c>
      <c r="F36" s="219">
        <v>295512.48</v>
      </c>
      <c r="G36" s="219">
        <v>0</v>
      </c>
      <c r="H36" s="219">
        <v>-46792.800000000003</v>
      </c>
      <c r="I36" s="219">
        <v>-189627.96</v>
      </c>
      <c r="J36" s="218">
        <v>28118371.32</v>
      </c>
    </row>
    <row r="37" spans="2:10" ht="15" customHeight="1" x14ac:dyDescent="0.35">
      <c r="B37" s="217" t="s">
        <v>50</v>
      </c>
      <c r="C37" s="217" t="s">
        <v>41</v>
      </c>
      <c r="D37" s="218">
        <v>28118371.32</v>
      </c>
      <c r="E37" s="219">
        <v>427038.12</v>
      </c>
      <c r="F37" s="219">
        <v>493697.64</v>
      </c>
      <c r="G37" s="219">
        <v>0</v>
      </c>
      <c r="H37" s="219">
        <v>-124445.04</v>
      </c>
      <c r="I37" s="219">
        <v>-162396</v>
      </c>
      <c r="J37" s="218">
        <v>28752266.039999999</v>
      </c>
    </row>
    <row r="38" spans="2:10" ht="15" customHeight="1" x14ac:dyDescent="0.35">
      <c r="B38" s="217" t="s">
        <v>51</v>
      </c>
      <c r="C38" s="217" t="s">
        <v>41</v>
      </c>
      <c r="D38" s="218">
        <v>28752266.039999999</v>
      </c>
      <c r="E38" s="219">
        <v>771199.2</v>
      </c>
      <c r="F38" s="219">
        <v>366765</v>
      </c>
      <c r="G38" s="219">
        <v>0</v>
      </c>
      <c r="H38" s="219">
        <v>-173070.72</v>
      </c>
      <c r="I38" s="219">
        <v>-328723.8</v>
      </c>
      <c r="J38" s="218">
        <v>29388435.719999999</v>
      </c>
    </row>
    <row r="39" spans="2:10" ht="15" customHeight="1" x14ac:dyDescent="0.35">
      <c r="B39" s="217" t="s">
        <v>52</v>
      </c>
      <c r="C39" s="217" t="s">
        <v>41</v>
      </c>
      <c r="D39" s="218">
        <v>29388435.719999999</v>
      </c>
      <c r="E39" s="219">
        <v>815749.32000000007</v>
      </c>
      <c r="F39" s="219">
        <v>245648.28</v>
      </c>
      <c r="G39" s="219">
        <v>37735.800000000003</v>
      </c>
      <c r="H39" s="219">
        <v>-77452.2</v>
      </c>
      <c r="I39" s="219">
        <v>-220801.08</v>
      </c>
      <c r="J39" s="218">
        <v>30189315.84</v>
      </c>
    </row>
    <row r="40" spans="2:10" ht="15" customHeight="1" x14ac:dyDescent="0.35">
      <c r="B40" s="217" t="s">
        <v>53</v>
      </c>
      <c r="C40" s="217" t="s">
        <v>41</v>
      </c>
      <c r="D40" s="218">
        <v>30189315.84</v>
      </c>
      <c r="E40" s="219">
        <v>267424.44</v>
      </c>
      <c r="F40" s="219">
        <v>361621.20000000013</v>
      </c>
      <c r="G40" s="219">
        <v>3132</v>
      </c>
      <c r="H40" s="219">
        <v>-451736.88</v>
      </c>
      <c r="I40" s="219">
        <v>-188907.24</v>
      </c>
      <c r="J40" s="218">
        <v>30180849.359999999</v>
      </c>
    </row>
    <row r="41" spans="2:10" ht="15" customHeight="1" x14ac:dyDescent="0.35">
      <c r="B41" s="217" t="s">
        <v>54</v>
      </c>
      <c r="C41" s="217" t="s">
        <v>41</v>
      </c>
      <c r="D41" s="218">
        <v>30180849.359999999</v>
      </c>
      <c r="E41" s="219">
        <v>347874.72</v>
      </c>
      <c r="F41" s="219">
        <v>303632.88</v>
      </c>
      <c r="G41" s="219">
        <v>10064.52</v>
      </c>
      <c r="H41" s="219">
        <v>-150335.16</v>
      </c>
      <c r="I41" s="219">
        <v>-113861.4</v>
      </c>
      <c r="J41" s="218">
        <v>30578224.920000002</v>
      </c>
    </row>
    <row r="42" spans="2:10" ht="15" customHeight="1" x14ac:dyDescent="0.35">
      <c r="B42" s="217" t="s">
        <v>55</v>
      </c>
      <c r="C42" s="217" t="s">
        <v>41</v>
      </c>
      <c r="D42" s="218">
        <v>30578224.920000002</v>
      </c>
      <c r="E42" s="219">
        <v>452642.28</v>
      </c>
      <c r="F42" s="219">
        <v>237688.44</v>
      </c>
      <c r="G42" s="219">
        <v>7982.76</v>
      </c>
      <c r="H42" s="219">
        <v>-205926.12</v>
      </c>
      <c r="I42" s="219">
        <v>-233182.92</v>
      </c>
      <c r="J42" s="218">
        <v>30837429.359999999</v>
      </c>
    </row>
    <row r="43" spans="2:10" ht="15" customHeight="1" x14ac:dyDescent="0.35">
      <c r="B43" s="217" t="s">
        <v>56</v>
      </c>
      <c r="C43" s="217" t="s">
        <v>41</v>
      </c>
      <c r="D43" s="218">
        <v>30837429.359999999</v>
      </c>
      <c r="E43" s="219">
        <v>134448.48000000001</v>
      </c>
      <c r="F43" s="219">
        <v>820157.04</v>
      </c>
      <c r="G43" s="219">
        <v>3643.2</v>
      </c>
      <c r="H43" s="219">
        <v>-61498.8</v>
      </c>
      <c r="I43" s="219">
        <v>-286825.44</v>
      </c>
      <c r="J43" s="218">
        <v>31447353.84</v>
      </c>
    </row>
    <row r="44" spans="2:10" ht="15" customHeight="1" x14ac:dyDescent="0.35">
      <c r="B44" s="217" t="s">
        <v>57</v>
      </c>
      <c r="C44" s="217" t="s">
        <v>41</v>
      </c>
      <c r="D44" s="218">
        <v>31447353.84</v>
      </c>
      <c r="E44" s="219">
        <v>170863.2</v>
      </c>
      <c r="F44" s="219">
        <v>1119731.3999999999</v>
      </c>
      <c r="G44" s="219">
        <v>14374.56</v>
      </c>
      <c r="H44" s="219">
        <v>-139362.12</v>
      </c>
      <c r="I44" s="219">
        <v>-119750.52</v>
      </c>
      <c r="J44" s="218">
        <v>32493210.359999999</v>
      </c>
    </row>
    <row r="45" spans="2:10" ht="15" customHeight="1" x14ac:dyDescent="0.35">
      <c r="B45" s="217" t="s">
        <v>58</v>
      </c>
      <c r="C45" s="217" t="s">
        <v>41</v>
      </c>
      <c r="D45" s="218">
        <v>32493210.359999999</v>
      </c>
      <c r="E45" s="219">
        <v>650292.36</v>
      </c>
      <c r="F45" s="219">
        <v>510603.96</v>
      </c>
      <c r="G45" s="219">
        <v>20643.240000000002</v>
      </c>
      <c r="H45" s="219">
        <v>-95907.839999999997</v>
      </c>
      <c r="I45" s="219">
        <v>-562121.76</v>
      </c>
      <c r="J45" s="218">
        <v>33016720.32</v>
      </c>
    </row>
    <row r="46" spans="2:10" ht="15" customHeight="1" x14ac:dyDescent="0.35">
      <c r="B46" s="220" t="s">
        <v>59</v>
      </c>
      <c r="C46" s="220" t="s">
        <v>60</v>
      </c>
      <c r="D46" s="221">
        <f>'Forecast Drivers'!D76</f>
        <v>33016720.32</v>
      </c>
      <c r="E46" s="222">
        <f>'Forecast Drivers'!D77</f>
        <v>379723.84316577658</v>
      </c>
      <c r="F46" s="222">
        <f>'Forecast Drivers'!D78</f>
        <v>514111.27215857373</v>
      </c>
      <c r="G46" s="222">
        <f>'Forecast Drivers'!D79</f>
        <v>8534.9</v>
      </c>
      <c r="H46" s="222">
        <f>'Forecast Drivers'!D80</f>
        <v>-86848.288651548413</v>
      </c>
      <c r="I46" s="222">
        <f>'Forecast Drivers'!D81</f>
        <v>-160575.32635501667</v>
      </c>
      <c r="J46" s="221">
        <f>'Forecast Drivers'!D82</f>
        <v>33671666.720317781</v>
      </c>
    </row>
    <row r="47" spans="2:10" ht="12" customHeight="1" x14ac:dyDescent="0.35">
      <c r="B47" s="220" t="s">
        <v>61</v>
      </c>
      <c r="C47" s="220" t="s">
        <v>60</v>
      </c>
      <c r="D47" s="221">
        <f>'Forecast Drivers'!E76</f>
        <v>33671666.720317781</v>
      </c>
      <c r="E47" s="222">
        <f>'Forecast Drivers'!E77</f>
        <v>78926.912128142969</v>
      </c>
      <c r="F47" s="222">
        <f>'Forecast Drivers'!E78</f>
        <v>514111.27215857373</v>
      </c>
      <c r="G47" s="222">
        <f>'Forecast Drivers'!E79</f>
        <v>8534.9</v>
      </c>
      <c r="H47" s="222">
        <f>'Forecast Drivers'!E80</f>
        <v>-99397.3496038679</v>
      </c>
      <c r="I47" s="222">
        <f>'Forecast Drivers'!E81</f>
        <v>-188223.04595611405</v>
      </c>
      <c r="J47" s="221">
        <f>'Forecast Drivers'!E82</f>
        <v>33985619.409044512</v>
      </c>
    </row>
    <row r="48" spans="2:10" ht="15" customHeight="1" x14ac:dyDescent="0.35">
      <c r="B48" s="220" t="s">
        <v>63</v>
      </c>
      <c r="C48" s="220" t="s">
        <v>60</v>
      </c>
      <c r="D48" s="221">
        <f>'Forecast Drivers'!F76</f>
        <v>33985619.409044512</v>
      </c>
      <c r="E48" s="222">
        <f>'Forecast Drivers'!F77</f>
        <v>10415.98618357488</v>
      </c>
      <c r="F48" s="222">
        <f>'Forecast Drivers'!F78</f>
        <v>514111.27215857373</v>
      </c>
      <c r="G48" s="222">
        <f>'Forecast Drivers'!F79</f>
        <v>8534.9</v>
      </c>
      <c r="H48" s="222">
        <f>'Forecast Drivers'!F80</f>
        <v>-102725.15900228241</v>
      </c>
      <c r="I48" s="222">
        <f>'Forecast Drivers'!F81</f>
        <v>-188558.21999984354</v>
      </c>
      <c r="J48" s="221">
        <f>'Forecast Drivers'!F82</f>
        <v>34227398.188384533</v>
      </c>
    </row>
    <row r="49" spans="2:12" ht="15" customHeight="1" x14ac:dyDescent="0.35">
      <c r="B49" s="220" t="s">
        <v>64</v>
      </c>
      <c r="C49" s="220" t="s">
        <v>60</v>
      </c>
      <c r="D49" s="221">
        <f>'Forecast Drivers'!G76</f>
        <v>34227398.188384533</v>
      </c>
      <c r="E49" s="222">
        <f>'Forecast Drivers'!G77</f>
        <v>11305.866570048311</v>
      </c>
      <c r="F49" s="222">
        <f>'Forecast Drivers'!G78</f>
        <v>514111.27215857373</v>
      </c>
      <c r="G49" s="222">
        <f>'Forecast Drivers'!G79</f>
        <v>8534.9</v>
      </c>
      <c r="H49" s="222">
        <f>'Forecast Drivers'!G80</f>
        <v>-140395.94148762702</v>
      </c>
      <c r="I49" s="222">
        <f>'Forecast Drivers'!G81</f>
        <v>-232938.51550390455</v>
      </c>
      <c r="J49" s="221">
        <f>'Forecast Drivers'!G82</f>
        <v>34388015.770121619</v>
      </c>
    </row>
    <row r="50" spans="2:12" ht="15" customHeight="1" x14ac:dyDescent="0.35">
      <c r="B50" s="220" t="s">
        <v>65</v>
      </c>
      <c r="C50" s="220" t="s">
        <v>60</v>
      </c>
      <c r="D50" s="221">
        <f>'Forecast Drivers'!H76</f>
        <v>34388015.770121619</v>
      </c>
      <c r="E50" s="222">
        <f>'Forecast Drivers'!H77</f>
        <v>350964.27540200192</v>
      </c>
      <c r="F50" s="222">
        <f>'Forecast Drivers'!H78</f>
        <v>514111.27215857373</v>
      </c>
      <c r="G50" s="222">
        <f>'Forecast Drivers'!H79</f>
        <v>8534.9</v>
      </c>
      <c r="H50" s="222">
        <f>'Forecast Drivers'!H80</f>
        <v>-183611.10877066088</v>
      </c>
      <c r="I50" s="222">
        <f>'Forecast Drivers'!H81</f>
        <v>-301558.89956360729</v>
      </c>
      <c r="J50" s="221">
        <f>'Forecast Drivers'!H82</f>
        <v>34776456.209347919</v>
      </c>
    </row>
    <row r="51" spans="2:12" ht="15" customHeight="1" x14ac:dyDescent="0.35">
      <c r="B51" s="220" t="s">
        <v>66</v>
      </c>
      <c r="C51" s="220" t="s">
        <v>60</v>
      </c>
      <c r="D51" s="221">
        <f>'Forecast Drivers'!I76</f>
        <v>34776456.209347919</v>
      </c>
      <c r="E51" s="222">
        <f>'Forecast Drivers'!I77</f>
        <v>351431.15011490264</v>
      </c>
      <c r="F51" s="222">
        <f>'Forecast Drivers'!I78</f>
        <v>514111.27215857373</v>
      </c>
      <c r="G51" s="222">
        <f>'Forecast Drivers'!I79</f>
        <v>8534.9</v>
      </c>
      <c r="H51" s="222">
        <f>'Forecast Drivers'!I80</f>
        <v>-351650.54688320425</v>
      </c>
      <c r="I51" s="222">
        <f>'Forecast Drivers'!I81</f>
        <v>-482466.41994055687</v>
      </c>
      <c r="J51" s="221">
        <f>'Forecast Drivers'!I82</f>
        <v>34816416.564797632</v>
      </c>
    </row>
    <row r="52" spans="2:12" ht="15" customHeight="1" x14ac:dyDescent="0.35">
      <c r="B52" s="223" t="s">
        <v>162</v>
      </c>
      <c r="C52" s="54"/>
      <c r="D52" s="224"/>
      <c r="E52" s="224"/>
      <c r="F52" s="224"/>
      <c r="G52" s="224"/>
      <c r="H52" s="224"/>
      <c r="I52" s="224"/>
      <c r="J52" s="225">
        <f>ROUND(SUM(D28:D51)+SUM(E28:E51)+SUM(F28:F51)+SUM(G28:G51)+SUM(H28:H51)+SUM(I28:I51)-SUM(J28:J51),2)</f>
        <v>0</v>
      </c>
    </row>
    <row r="53" spans="2:12" ht="15" customHeight="1" x14ac:dyDescent="0.35"/>
    <row r="54" spans="2:12" ht="12" customHeight="1" x14ac:dyDescent="0.35">
      <c r="B54" s="39" t="s">
        <v>67</v>
      </c>
    </row>
    <row r="55" spans="2:12" ht="7" customHeight="1" x14ac:dyDescent="0.35"/>
    <row r="56" spans="2:12" ht="15" customHeight="1" x14ac:dyDescent="0.35"/>
    <row r="57" spans="2:12" ht="18" customHeight="1" thickBot="1" x14ac:dyDescent="0.4">
      <c r="B57" s="21" t="s">
        <v>68</v>
      </c>
      <c r="C57" s="41"/>
      <c r="D57" s="41"/>
      <c r="E57" s="41"/>
      <c r="F57" s="41"/>
      <c r="G57" s="41"/>
      <c r="H57" s="41"/>
      <c r="I57" s="41"/>
      <c r="J57" s="41"/>
    </row>
    <row r="58" spans="2:12" ht="30" customHeight="1" x14ac:dyDescent="0.35">
      <c r="B58" s="296" t="s">
        <v>69</v>
      </c>
      <c r="C58" s="296"/>
      <c r="D58" s="296"/>
      <c r="E58" s="296"/>
      <c r="F58" s="296"/>
      <c r="G58" s="296"/>
      <c r="H58" s="296"/>
      <c r="I58" s="296"/>
      <c r="J58" s="296"/>
      <c r="K58" s="117"/>
      <c r="L58" s="117"/>
    </row>
    <row r="59" spans="2:12" ht="15" customHeight="1" x14ac:dyDescent="0.35">
      <c r="B59" s="117"/>
      <c r="C59" s="117"/>
      <c r="D59" s="117"/>
      <c r="E59" s="117"/>
      <c r="F59" s="117"/>
      <c r="G59" s="117"/>
      <c r="H59" s="117"/>
      <c r="I59" s="117"/>
      <c r="J59" s="117"/>
      <c r="K59" s="117"/>
      <c r="L59" s="117"/>
    </row>
    <row r="60" spans="2:12" ht="15" customHeight="1" x14ac:dyDescent="0.35">
      <c r="B60" s="117"/>
      <c r="C60" s="117"/>
      <c r="D60" s="117"/>
      <c r="E60" s="117"/>
      <c r="F60" s="117"/>
      <c r="G60" s="117"/>
      <c r="H60" s="117"/>
      <c r="I60" s="117"/>
      <c r="J60" s="117"/>
      <c r="K60" s="117"/>
      <c r="L60" s="117"/>
    </row>
    <row r="61" spans="2:12" ht="15" customHeight="1" x14ac:dyDescent="0.35">
      <c r="B61" s="117"/>
      <c r="C61" s="117"/>
      <c r="D61" s="117"/>
      <c r="E61" s="117"/>
      <c r="F61" s="117"/>
      <c r="G61" s="117"/>
      <c r="H61" s="117"/>
      <c r="I61" s="117"/>
      <c r="J61" s="117"/>
      <c r="K61" s="117"/>
      <c r="L61" s="117"/>
    </row>
    <row r="62" spans="2:12" ht="15" customHeight="1" x14ac:dyDescent="0.35">
      <c r="B62" s="117"/>
      <c r="C62" s="117"/>
      <c r="D62" s="117"/>
      <c r="E62" s="117"/>
      <c r="F62" s="117"/>
      <c r="G62" s="117"/>
      <c r="H62" s="117"/>
      <c r="I62" s="117"/>
      <c r="J62" s="117"/>
      <c r="K62" s="117"/>
      <c r="L62" s="117"/>
    </row>
    <row r="63" spans="2:12" ht="15" customHeight="1" x14ac:dyDescent="0.35">
      <c r="B63" s="117"/>
      <c r="C63" s="117"/>
      <c r="D63" s="117"/>
      <c r="E63" s="117"/>
      <c r="F63" s="117"/>
      <c r="G63" s="117"/>
      <c r="H63" s="117"/>
      <c r="I63" s="117"/>
      <c r="J63" s="117"/>
      <c r="K63" s="117"/>
      <c r="L63" s="117"/>
    </row>
    <row r="64" spans="2:12" ht="15" customHeight="1" x14ac:dyDescent="0.35">
      <c r="B64" s="117"/>
      <c r="C64" s="117"/>
      <c r="D64" s="117"/>
      <c r="E64" s="117"/>
      <c r="F64" s="117"/>
      <c r="G64" s="117"/>
      <c r="H64" s="117"/>
      <c r="I64" s="117"/>
      <c r="J64" s="117"/>
      <c r="K64" s="117"/>
      <c r="L64" s="117"/>
    </row>
    <row r="65" spans="2:12" ht="15" customHeight="1" x14ac:dyDescent="0.35">
      <c r="B65" s="117"/>
      <c r="C65" s="117"/>
      <c r="D65" s="117"/>
      <c r="E65" s="117"/>
      <c r="F65" s="117"/>
      <c r="G65" s="117"/>
      <c r="H65" s="117"/>
      <c r="I65" s="117"/>
      <c r="J65" s="117"/>
      <c r="K65" s="117"/>
      <c r="L65" s="117"/>
    </row>
    <row r="66" spans="2:12" ht="15" customHeight="1" x14ac:dyDescent="0.35">
      <c r="B66" s="117"/>
      <c r="C66" s="117"/>
      <c r="D66" s="117"/>
      <c r="E66" s="117"/>
      <c r="F66" s="117"/>
      <c r="G66" s="117"/>
      <c r="H66" s="117"/>
      <c r="I66" s="117"/>
      <c r="J66" s="117"/>
      <c r="K66" s="117"/>
      <c r="L66" s="117"/>
    </row>
    <row r="67" spans="2:12" ht="15" customHeight="1" x14ac:dyDescent="0.35">
      <c r="B67" s="117"/>
      <c r="C67" s="117"/>
      <c r="D67" s="117"/>
      <c r="E67" s="117"/>
      <c r="F67" s="117"/>
      <c r="G67" s="117"/>
      <c r="H67" s="117"/>
      <c r="I67" s="117"/>
      <c r="J67" s="117"/>
      <c r="K67" s="117"/>
      <c r="L67" s="117"/>
    </row>
    <row r="68" spans="2:12" ht="15" customHeight="1" x14ac:dyDescent="0.35">
      <c r="B68" s="117"/>
      <c r="C68" s="117"/>
      <c r="D68" s="117"/>
      <c r="E68" s="117"/>
      <c r="F68" s="117"/>
      <c r="G68" s="117"/>
      <c r="H68" s="117"/>
      <c r="I68" s="117"/>
      <c r="J68" s="117"/>
      <c r="K68" s="117"/>
      <c r="L68" s="117"/>
    </row>
    <row r="69" spans="2:12" ht="15" customHeight="1" x14ac:dyDescent="0.35">
      <c r="B69" s="117"/>
      <c r="C69" s="117"/>
      <c r="D69" s="117"/>
      <c r="E69" s="117"/>
      <c r="F69" s="117"/>
      <c r="G69" s="117"/>
      <c r="H69" s="117"/>
      <c r="I69" s="117"/>
      <c r="J69" s="117"/>
      <c r="K69" s="117"/>
      <c r="L69" s="117"/>
    </row>
    <row r="70" spans="2:12" ht="15" customHeight="1" x14ac:dyDescent="0.35">
      <c r="B70" s="117"/>
      <c r="C70" s="117"/>
      <c r="D70" s="117"/>
      <c r="E70" s="117"/>
      <c r="F70" s="117"/>
      <c r="G70" s="117"/>
      <c r="H70" s="117"/>
      <c r="I70" s="117"/>
      <c r="J70" s="117"/>
      <c r="K70" s="117"/>
      <c r="L70" s="117"/>
    </row>
    <row r="71" spans="2:12" ht="15" customHeight="1" x14ac:dyDescent="0.35">
      <c r="B71" s="117"/>
      <c r="C71" s="117"/>
      <c r="D71" s="117"/>
      <c r="E71" s="117"/>
      <c r="F71" s="117"/>
      <c r="G71" s="117"/>
      <c r="H71" s="117"/>
      <c r="I71" s="117"/>
      <c r="J71" s="117"/>
      <c r="K71" s="117"/>
      <c r="L71" s="117"/>
    </row>
    <row r="72" spans="2:12" ht="15" customHeight="1" x14ac:dyDescent="0.35">
      <c r="B72" s="117"/>
      <c r="C72" s="117"/>
      <c r="D72" s="117"/>
      <c r="E72" s="117"/>
      <c r="F72" s="117"/>
      <c r="G72" s="117"/>
      <c r="H72" s="117"/>
      <c r="I72" s="117"/>
      <c r="J72" s="117"/>
      <c r="K72" s="117"/>
      <c r="L72" s="117"/>
    </row>
    <row r="73" spans="2:12" ht="7" customHeight="1" x14ac:dyDescent="0.35">
      <c r="B73" s="117"/>
      <c r="C73" s="117"/>
      <c r="D73" s="117"/>
      <c r="E73" s="117"/>
      <c r="F73" s="117"/>
      <c r="G73" s="117"/>
      <c r="H73" s="117"/>
      <c r="I73" s="117"/>
      <c r="J73" s="117"/>
      <c r="K73" s="117"/>
      <c r="L73" s="117"/>
    </row>
    <row r="74" spans="2:12" ht="7" customHeight="1" x14ac:dyDescent="0.35"/>
    <row r="75" spans="2:12" ht="28.15" customHeight="1" x14ac:dyDescent="0.35">
      <c r="B75" s="215" t="s">
        <v>70</v>
      </c>
      <c r="C75" s="216" t="s">
        <v>71</v>
      </c>
      <c r="D75" s="216" t="s">
        <v>72</v>
      </c>
      <c r="E75" s="216" t="s">
        <v>73</v>
      </c>
      <c r="F75" s="216" t="s">
        <v>74</v>
      </c>
      <c r="G75" s="216" t="s">
        <v>75</v>
      </c>
      <c r="H75" s="226"/>
      <c r="I75" s="226"/>
      <c r="J75" s="226"/>
    </row>
    <row r="76" spans="2:12" ht="15" customHeight="1" x14ac:dyDescent="0.35">
      <c r="B76" s="227" t="s">
        <v>76</v>
      </c>
      <c r="C76" s="228">
        <f>_xlfn.XLOOKUP(1,(tbl_retention[segment]="Total")*(tbl_retention[month_label]="Jun-26"),tbl_retention[cohort_customers],"")</f>
        <v>838</v>
      </c>
      <c r="D76" s="229">
        <f>_xlfn.XLOOKUP(1,(tbl_retention[segment]="Total")*(tbl_retention[month_label]="Jun-26"),tbl_retention[cohort_beginning_arr],"")</f>
        <v>27137770.920000002</v>
      </c>
      <c r="E76" s="230">
        <f>_xlfn.XLOOKUP(1,(tbl_retention[segment]="Total")*(tbl_retention[month_label]="Jun-26"),tbl_retention[nrr],"")</f>
        <v>1.017911280975615</v>
      </c>
      <c r="F76" s="230">
        <f>_xlfn.XLOOKUP(1,(tbl_retention[segment]="Total")*(tbl_retention[month_label]="Jun-26"),tbl_retention[grr],"")</f>
        <v>0.89557676611119386</v>
      </c>
      <c r="G76" s="230">
        <f>_xlfn.XLOOKUP(1,(tbl_retention[segment]="Total")*(tbl_retention[month_label]="Jun-26"),tbl_retention[logo_retention],"")</f>
        <v>0.83412887828162297</v>
      </c>
      <c r="H76" s="231"/>
      <c r="I76" s="231"/>
      <c r="J76" s="231"/>
    </row>
    <row r="77" spans="2:12" ht="15" customHeight="1" x14ac:dyDescent="0.35">
      <c r="B77" s="232" t="s">
        <v>77</v>
      </c>
      <c r="C77" s="233">
        <f>_xlfn.XLOOKUP(1,(tbl_retention[segment]="SMB")*(tbl_retention[month_label]="Jun-26"),tbl_retention[cohort_customers],"")</f>
        <v>534</v>
      </c>
      <c r="D77" s="234">
        <f>_xlfn.XLOOKUP(1,(tbl_retention[segment]="SMB")*(tbl_retention[month_label]="Jun-26"),tbl_retention[cohort_beginning_arr],"")</f>
        <v>4294022.5199999996</v>
      </c>
      <c r="E77" s="235">
        <f>_xlfn.XLOOKUP(1,(tbl_retention[segment]="SMB")*(tbl_retention[month_label]="Jun-26"),tbl_retention[nrr],"")</f>
        <v>0.84660665449886841</v>
      </c>
      <c r="F77" s="235">
        <f>_xlfn.XLOOKUP(1,(tbl_retention[segment]="SMB")*(tbl_retention[month_label]="Jun-26"),tbl_retention[grr],"")</f>
        <v>0.76712104434887785</v>
      </c>
      <c r="G77" s="235">
        <f>_xlfn.XLOOKUP(1,(tbl_retention[segment]="SMB")*(tbl_retention[month_label]="Jun-26"),tbl_retention[logo_retention],"")</f>
        <v>0.7865168539325843</v>
      </c>
      <c r="H77" s="231"/>
      <c r="I77" s="231"/>
      <c r="J77" s="231"/>
    </row>
    <row r="78" spans="2:12" ht="15" customHeight="1" x14ac:dyDescent="0.35">
      <c r="B78" s="232" t="s">
        <v>78</v>
      </c>
      <c r="C78" s="233">
        <f>_xlfn.XLOOKUP(1,(tbl_retention[segment]="Mid-Market")*(tbl_retention[month_label]="Jun-26"),tbl_retention[cohort_customers],"")</f>
        <v>251</v>
      </c>
      <c r="D78" s="234">
        <f>_xlfn.XLOOKUP(1,(tbl_retention[segment]="Mid-Market")*(tbl_retention[month_label]="Jun-26"),tbl_retention[cohort_beginning_arr],"")</f>
        <v>11906832.48</v>
      </c>
      <c r="E78" s="235">
        <f>_xlfn.XLOOKUP(1,(tbl_retention[segment]="Mid-Market")*(tbl_retention[month_label]="Jun-26"),tbl_retention[nrr],"")</f>
        <v>1.0930263831174689</v>
      </c>
      <c r="F78" s="235">
        <f>_xlfn.XLOOKUP(1,(tbl_retention[segment]="Mid-Market")*(tbl_retention[month_label]="Jun-26"),tbl_retention[grr],"")</f>
        <v>0.90562573195789198</v>
      </c>
      <c r="G78" s="235">
        <f>_xlfn.XLOOKUP(1,(tbl_retention[segment]="Mid-Market")*(tbl_retention[month_label]="Jun-26"),tbl_retention[logo_retention],"")</f>
        <v>0.9083665338645418</v>
      </c>
      <c r="H78" s="231"/>
      <c r="I78" s="231"/>
      <c r="J78" s="231"/>
    </row>
    <row r="79" spans="2:12" ht="15" customHeight="1" x14ac:dyDescent="0.35">
      <c r="B79" s="232" t="s">
        <v>79</v>
      </c>
      <c r="C79" s="233">
        <f>_xlfn.XLOOKUP(1,(tbl_retention[segment]="Enterprise")*(tbl_retention[month_label]="Jun-26"),tbl_retention[cohort_customers],"")</f>
        <v>53</v>
      </c>
      <c r="D79" s="234">
        <f>_xlfn.XLOOKUP(1,(tbl_retention[segment]="Enterprise")*(tbl_retention[month_label]="Jun-26"),tbl_retention[cohort_beginning_arr],"")</f>
        <v>10936915.92</v>
      </c>
      <c r="E79" s="235">
        <f>_xlfn.XLOOKUP(1,(tbl_retention[segment]="Enterprise")*(tbl_retention[month_label]="Jun-26"),tbl_retention[nrr],"")</f>
        <v>1.0033919214768909</v>
      </c>
      <c r="F79" s="235">
        <f>_xlfn.XLOOKUP(1,(tbl_retention[segment]="Enterprise")*(tbl_retention[month_label]="Jun-26"),tbl_retention[grr],"")</f>
        <v>0.93507056969310598</v>
      </c>
      <c r="G79" s="235">
        <f>_xlfn.XLOOKUP(1,(tbl_retention[segment]="Enterprise")*(tbl_retention[month_label]="Jun-26"),tbl_retention[logo_retention],"")</f>
        <v>0.96226415094339623</v>
      </c>
      <c r="H79" s="231"/>
      <c r="I79" s="231"/>
      <c r="J79" s="231"/>
    </row>
    <row r="80" spans="2:12" ht="15" customHeight="1" x14ac:dyDescent="0.35"/>
    <row r="81" spans="2:12" ht="12" customHeight="1" x14ac:dyDescent="0.35">
      <c r="B81" s="39" t="s">
        <v>80</v>
      </c>
    </row>
    <row r="82" spans="2:12" ht="7" customHeight="1" x14ac:dyDescent="0.35"/>
    <row r="83" spans="2:12" ht="15" customHeight="1" x14ac:dyDescent="0.35"/>
    <row r="84" spans="2:12" ht="18" customHeight="1" thickBot="1" x14ac:dyDescent="0.4">
      <c r="B84" s="21" t="s">
        <v>81</v>
      </c>
      <c r="C84" s="41"/>
      <c r="D84" s="41"/>
      <c r="E84" s="41"/>
      <c r="F84" s="41"/>
      <c r="G84" s="41"/>
      <c r="H84" s="41"/>
      <c r="I84" s="41"/>
      <c r="J84" s="41"/>
    </row>
    <row r="85" spans="2:12" ht="30" customHeight="1" x14ac:dyDescent="0.35">
      <c r="B85" s="296" t="s">
        <v>82</v>
      </c>
      <c r="C85" s="296"/>
      <c r="D85" s="296"/>
      <c r="E85" s="296"/>
      <c r="F85" s="296"/>
      <c r="G85" s="296"/>
      <c r="H85" s="296"/>
      <c r="I85" s="296"/>
      <c r="J85" s="296"/>
      <c r="K85" s="117"/>
      <c r="L85" s="117"/>
    </row>
    <row r="86" spans="2:12" ht="7" customHeight="1" x14ac:dyDescent="0.35"/>
    <row r="87" spans="2:12" ht="15" customHeight="1" x14ac:dyDescent="0.35">
      <c r="B87" s="49" t="s">
        <v>83</v>
      </c>
      <c r="C87" s="50" t="s">
        <v>76</v>
      </c>
    </row>
    <row r="88" spans="2:12" ht="15" customHeight="1" x14ac:dyDescent="0.35"/>
    <row r="89" spans="2:12" ht="15" customHeight="1" x14ac:dyDescent="0.35">
      <c r="B89" s="18" t="s">
        <v>84</v>
      </c>
      <c r="D89" s="51">
        <f>_xlfn.XLOOKUP($C$87,tbl_segment_arr[segment],tbl_segment_arr[jun_2026_actual_arr])</f>
        <v>33016720.32</v>
      </c>
    </row>
    <row r="90" spans="2:12" ht="15" customHeight="1" x14ac:dyDescent="0.35">
      <c r="B90" s="18" t="s">
        <v>85</v>
      </c>
      <c r="D90" s="51">
        <f>_xlfn.XLOOKUP($C$87,tbl_segment_arr[segment],tbl_segment_arr[dec_2026_base_arr])</f>
        <v>34816416.564797662</v>
      </c>
    </row>
    <row r="91" spans="2:12" ht="15" customHeight="1" x14ac:dyDescent="0.35">
      <c r="B91" s="18" t="s">
        <v>86</v>
      </c>
      <c r="D91" s="52">
        <f>_xlfn.XLOOKUP($C$87,tbl_segment_arr[segment],tbl_segment_arr[h2_2026_net_new_arr])</f>
        <v>1799696.2447976619</v>
      </c>
    </row>
    <row r="92" spans="2:12" ht="15" customHeight="1" x14ac:dyDescent="0.35">
      <c r="B92" s="18" t="s">
        <v>87</v>
      </c>
      <c r="D92" s="53">
        <f>_xlfn.XLOOKUP($C$87,tbl_segment_arr[segment],tbl_segment_arr[share_of_dec_2026_arr])</f>
        <v>1</v>
      </c>
    </row>
    <row r="93" spans="2:12" ht="15" customHeight="1" x14ac:dyDescent="0.35">
      <c r="B93" s="18" t="s">
        <v>88</v>
      </c>
      <c r="D93" s="53">
        <f>_xlfn.XLOOKUP(1,(tbl_retention[segment]=$C$87)*(tbl_retention[month_label]="Jun-26"),tbl_retention[nrr],"")</f>
        <v>1.017911280975615</v>
      </c>
    </row>
    <row r="94" spans="2:12" ht="15" customHeight="1" x14ac:dyDescent="0.35">
      <c r="B94" s="18" t="s">
        <v>89</v>
      </c>
      <c r="D94" s="53">
        <f>_xlfn.XLOOKUP(1,(tbl_retention[segment]=$C$87)*(tbl_retention[month_label]="Jun-26"),tbl_retention[grr],"")</f>
        <v>0.89557676611119386</v>
      </c>
    </row>
    <row r="95" spans="2:12" ht="15" customHeight="1" x14ac:dyDescent="0.35">
      <c r="B95" s="18" t="s">
        <v>90</v>
      </c>
      <c r="D95" s="53">
        <f>_xlfn.XLOOKUP(1,(tbl_retention[segment]=$C$87)*(tbl_retention[month_label]="Jun-26"),tbl_retention[logo_retention],"")</f>
        <v>0.83412887828162297</v>
      </c>
    </row>
    <row r="96" spans="2:12" ht="15" customHeight="1" x14ac:dyDescent="0.35">
      <c r="B96" s="18" t="s">
        <v>91</v>
      </c>
      <c r="D96" s="51">
        <f>SUMIFS(tbl_atr[atr_arr],tbl_atr[segment],$C$87,tbl_atr[renewal_quarter],"&lt;=2027Q2")</f>
        <v>23750316.960000001</v>
      </c>
    </row>
    <row r="97" spans="2:12" ht="15" customHeight="1" x14ac:dyDescent="0.35"/>
    <row r="98" spans="2:12" ht="12" customHeight="1" x14ac:dyDescent="0.35">
      <c r="B98" s="39" t="s">
        <v>92</v>
      </c>
    </row>
    <row r="99" spans="2:12" ht="7" customHeight="1" x14ac:dyDescent="0.35"/>
    <row r="100" spans="2:12" ht="15" customHeight="1" x14ac:dyDescent="0.35"/>
    <row r="101" spans="2:12" ht="18" customHeight="1" thickBot="1" x14ac:dyDescent="0.4">
      <c r="B101" s="21" t="s">
        <v>93</v>
      </c>
      <c r="C101" s="41"/>
      <c r="D101" s="41"/>
      <c r="E101" s="41"/>
      <c r="F101" s="41"/>
      <c r="G101" s="41"/>
      <c r="H101" s="41"/>
      <c r="I101" s="41"/>
      <c r="J101" s="41"/>
    </row>
    <row r="102" spans="2:12" ht="30" customHeight="1" x14ac:dyDescent="0.35">
      <c r="B102" s="296" t="s">
        <v>94</v>
      </c>
      <c r="C102" s="296"/>
      <c r="D102" s="296"/>
      <c r="E102" s="296"/>
      <c r="F102" s="296"/>
      <c r="G102" s="296"/>
      <c r="H102" s="296"/>
      <c r="I102" s="296"/>
      <c r="J102" s="296"/>
      <c r="K102" s="117"/>
      <c r="L102" s="117"/>
    </row>
    <row r="103" spans="2:12" ht="15" customHeight="1" x14ac:dyDescent="0.35">
      <c r="B103" s="117"/>
      <c r="C103" s="117"/>
      <c r="D103" s="117"/>
      <c r="E103" s="117"/>
      <c r="F103" s="117"/>
      <c r="G103" s="117"/>
      <c r="H103" s="117"/>
      <c r="I103" s="117"/>
      <c r="J103" s="117"/>
      <c r="K103" s="117"/>
      <c r="L103" s="117"/>
    </row>
    <row r="104" spans="2:12" ht="15" customHeight="1" x14ac:dyDescent="0.35">
      <c r="B104" s="117"/>
      <c r="C104" s="117"/>
      <c r="D104" s="117"/>
      <c r="E104" s="117"/>
      <c r="F104" s="117"/>
      <c r="G104" s="117"/>
      <c r="H104" s="117"/>
      <c r="I104" s="117"/>
      <c r="J104" s="117"/>
      <c r="K104" s="117"/>
      <c r="L104" s="117"/>
    </row>
    <row r="105" spans="2:12" ht="15" customHeight="1" x14ac:dyDescent="0.35">
      <c r="B105" s="117"/>
      <c r="C105" s="117"/>
      <c r="D105" s="117"/>
      <c r="E105" s="117"/>
      <c r="F105" s="117"/>
      <c r="G105" s="117"/>
      <c r="H105" s="117"/>
      <c r="I105" s="117"/>
      <c r="J105" s="117"/>
      <c r="K105" s="117"/>
      <c r="L105" s="117"/>
    </row>
    <row r="106" spans="2:12" ht="15" customHeight="1" x14ac:dyDescent="0.35">
      <c r="B106" s="117"/>
      <c r="C106" s="117"/>
      <c r="D106" s="117"/>
      <c r="E106" s="117"/>
      <c r="F106" s="117"/>
      <c r="G106" s="117"/>
      <c r="H106" s="117"/>
      <c r="I106" s="117"/>
      <c r="J106" s="117"/>
      <c r="K106" s="117"/>
      <c r="L106" s="117"/>
    </row>
    <row r="107" spans="2:12" ht="15" customHeight="1" x14ac:dyDescent="0.35">
      <c r="B107" s="117"/>
      <c r="C107" s="117"/>
      <c r="D107" s="117"/>
      <c r="E107" s="117"/>
      <c r="F107" s="117"/>
      <c r="G107" s="117"/>
      <c r="H107" s="117"/>
      <c r="I107" s="117"/>
      <c r="J107" s="117"/>
      <c r="K107" s="117"/>
      <c r="L107" s="117"/>
    </row>
    <row r="108" spans="2:12" ht="15" customHeight="1" x14ac:dyDescent="0.35">
      <c r="B108" s="117"/>
      <c r="C108" s="117"/>
      <c r="D108" s="117"/>
      <c r="E108" s="117"/>
      <c r="F108" s="117"/>
      <c r="G108" s="117"/>
      <c r="H108" s="117"/>
      <c r="I108" s="117"/>
      <c r="J108" s="117"/>
      <c r="K108" s="117"/>
      <c r="L108" s="117"/>
    </row>
    <row r="109" spans="2:12" ht="15" customHeight="1" x14ac:dyDescent="0.35">
      <c r="B109" s="117"/>
      <c r="C109" s="117"/>
      <c r="D109" s="117"/>
      <c r="E109" s="117"/>
      <c r="F109" s="117"/>
      <c r="G109" s="117"/>
      <c r="H109" s="117"/>
      <c r="I109" s="117"/>
      <c r="J109" s="117"/>
      <c r="K109" s="117"/>
      <c r="L109" s="117"/>
    </row>
    <row r="110" spans="2:12" ht="15" customHeight="1" x14ac:dyDescent="0.35">
      <c r="B110" s="117"/>
      <c r="C110" s="117"/>
      <c r="D110" s="117"/>
      <c r="E110" s="117"/>
      <c r="F110" s="117"/>
      <c r="G110" s="117"/>
      <c r="H110" s="117"/>
      <c r="I110" s="117"/>
      <c r="J110" s="117"/>
      <c r="K110" s="117"/>
      <c r="L110" s="117"/>
    </row>
    <row r="111" spans="2:12" ht="15" customHeight="1" x14ac:dyDescent="0.35">
      <c r="B111" s="117"/>
      <c r="C111" s="117"/>
      <c r="D111" s="117"/>
      <c r="E111" s="117"/>
      <c r="F111" s="117"/>
      <c r="G111" s="117"/>
      <c r="H111" s="117"/>
      <c r="I111" s="117"/>
      <c r="J111" s="117"/>
      <c r="K111" s="117"/>
      <c r="L111" s="117"/>
    </row>
    <row r="112" spans="2:12" ht="15" customHeight="1" x14ac:dyDescent="0.35">
      <c r="B112" s="117"/>
      <c r="C112" s="117"/>
      <c r="D112" s="117"/>
      <c r="E112" s="117"/>
      <c r="F112" s="117"/>
      <c r="G112" s="117"/>
      <c r="H112" s="117"/>
      <c r="I112" s="117"/>
      <c r="J112" s="117"/>
      <c r="K112" s="117"/>
      <c r="L112" s="117"/>
    </row>
    <row r="113" spans="2:12" ht="15" customHeight="1" x14ac:dyDescent="0.35">
      <c r="B113" s="117"/>
      <c r="C113" s="117"/>
      <c r="D113" s="117"/>
      <c r="E113" s="117"/>
      <c r="F113" s="117"/>
      <c r="G113" s="117"/>
      <c r="H113" s="117"/>
      <c r="I113" s="117"/>
      <c r="J113" s="117"/>
      <c r="K113" s="117"/>
      <c r="L113" s="117"/>
    </row>
    <row r="114" spans="2:12" ht="15" customHeight="1" x14ac:dyDescent="0.35">
      <c r="B114" s="117"/>
      <c r="C114" s="117"/>
      <c r="D114" s="117"/>
      <c r="E114" s="117"/>
      <c r="F114" s="117"/>
      <c r="G114" s="117"/>
      <c r="H114" s="117"/>
      <c r="I114" s="117"/>
      <c r="J114" s="117"/>
      <c r="K114" s="117"/>
      <c r="L114" s="117"/>
    </row>
    <row r="115" spans="2:12" ht="15" customHeight="1" x14ac:dyDescent="0.35">
      <c r="B115" s="117"/>
      <c r="C115" s="117"/>
      <c r="D115" s="117"/>
      <c r="E115" s="117"/>
      <c r="F115" s="117"/>
      <c r="G115" s="117"/>
      <c r="H115" s="117"/>
      <c r="I115" s="117"/>
      <c r="J115" s="117"/>
      <c r="K115" s="117"/>
      <c r="L115" s="117"/>
    </row>
    <row r="116" spans="2:12" ht="7" customHeight="1" x14ac:dyDescent="0.35">
      <c r="B116" s="117"/>
      <c r="C116" s="117"/>
      <c r="D116" s="117"/>
      <c r="E116" s="117"/>
      <c r="F116" s="117"/>
      <c r="G116" s="117"/>
      <c r="H116" s="117"/>
      <c r="I116" s="117"/>
      <c r="J116" s="117"/>
      <c r="K116" s="117"/>
      <c r="L116" s="117"/>
    </row>
    <row r="117" spans="2:12" ht="7" customHeight="1" x14ac:dyDescent="0.35"/>
    <row r="118" spans="2:12" ht="28.15" customHeight="1" x14ac:dyDescent="0.35">
      <c r="B118" s="215" t="s">
        <v>95</v>
      </c>
      <c r="C118" s="216" t="s">
        <v>77</v>
      </c>
      <c r="D118" s="216" t="s">
        <v>78</v>
      </c>
      <c r="E118" s="216" t="s">
        <v>79</v>
      </c>
      <c r="F118" s="216" t="s">
        <v>76</v>
      </c>
      <c r="G118" s="226"/>
      <c r="H118" s="226"/>
      <c r="I118" s="226"/>
      <c r="J118" s="226"/>
    </row>
    <row r="119" spans="2:12" ht="15" customHeight="1" x14ac:dyDescent="0.35">
      <c r="B119" s="232" t="s">
        <v>96</v>
      </c>
      <c r="C119" s="234">
        <v>230751.48</v>
      </c>
      <c r="D119" s="234">
        <v>2054292.48</v>
      </c>
      <c r="E119" s="234">
        <v>831189.48</v>
      </c>
      <c r="F119" s="236">
        <v>3116233.44</v>
      </c>
      <c r="G119" s="231"/>
      <c r="H119" s="231"/>
      <c r="I119" s="231"/>
      <c r="J119" s="231"/>
    </row>
    <row r="120" spans="2:12" ht="15" customHeight="1" x14ac:dyDescent="0.35">
      <c r="B120" s="232" t="s">
        <v>97</v>
      </c>
      <c r="C120" s="234">
        <v>499151.52</v>
      </c>
      <c r="D120" s="234">
        <v>3942065.52</v>
      </c>
      <c r="E120" s="234">
        <v>3463115.76</v>
      </c>
      <c r="F120" s="236">
        <v>7904332.7999999998</v>
      </c>
      <c r="G120" s="231"/>
      <c r="H120" s="231"/>
      <c r="I120" s="231"/>
      <c r="J120" s="231"/>
    </row>
    <row r="121" spans="2:12" ht="15" customHeight="1" x14ac:dyDescent="0.35">
      <c r="B121" s="232" t="s">
        <v>98</v>
      </c>
      <c r="C121" s="234">
        <v>480256.56</v>
      </c>
      <c r="D121" s="234">
        <v>4137916.44</v>
      </c>
      <c r="E121" s="234">
        <v>3761399.88</v>
      </c>
      <c r="F121" s="236">
        <v>8379572.8799999999</v>
      </c>
      <c r="G121" s="231"/>
      <c r="H121" s="231"/>
      <c r="I121" s="231"/>
      <c r="J121" s="231"/>
    </row>
    <row r="122" spans="2:12" ht="15" customHeight="1" x14ac:dyDescent="0.35">
      <c r="B122" s="232" t="s">
        <v>99</v>
      </c>
      <c r="C122" s="234">
        <v>515040.36</v>
      </c>
      <c r="D122" s="234">
        <v>3068660.76</v>
      </c>
      <c r="E122" s="234">
        <v>766476.72</v>
      </c>
      <c r="F122" s="236">
        <v>4350177.84</v>
      </c>
      <c r="G122" s="231"/>
      <c r="H122" s="231"/>
      <c r="I122" s="231"/>
      <c r="J122" s="231"/>
    </row>
    <row r="123" spans="2:12" ht="15" customHeight="1" x14ac:dyDescent="0.35">
      <c r="B123" s="232" t="s">
        <v>100</v>
      </c>
      <c r="C123" s="234">
        <v>15480.24</v>
      </c>
      <c r="D123" s="234">
        <v>450161.52</v>
      </c>
      <c r="E123" s="234">
        <v>425074.32</v>
      </c>
      <c r="F123" s="236">
        <v>890716.08</v>
      </c>
      <c r="G123" s="231"/>
      <c r="H123" s="231"/>
      <c r="I123" s="231"/>
      <c r="J123" s="231"/>
    </row>
    <row r="124" spans="2:12" ht="15" customHeight="1" x14ac:dyDescent="0.35">
      <c r="B124" s="232" t="s">
        <v>101</v>
      </c>
      <c r="C124" s="234">
        <v>20829.84</v>
      </c>
      <c r="D124" s="234">
        <v>239958.36</v>
      </c>
      <c r="E124" s="234">
        <v>299074.44</v>
      </c>
      <c r="F124" s="236">
        <v>559862.64</v>
      </c>
      <c r="G124" s="231"/>
      <c r="H124" s="231"/>
      <c r="I124" s="231"/>
      <c r="J124" s="231"/>
    </row>
    <row r="125" spans="2:12" ht="15" customHeight="1" x14ac:dyDescent="0.35"/>
    <row r="126" spans="2:12" ht="12" customHeight="1" x14ac:dyDescent="0.35">
      <c r="B126" s="39" t="s">
        <v>102</v>
      </c>
    </row>
    <row r="127" spans="2:12" ht="7" customHeight="1" x14ac:dyDescent="0.35"/>
  </sheetData>
  <mergeCells count="5">
    <mergeCell ref="B8:J8"/>
    <mergeCell ref="B58:J58"/>
    <mergeCell ref="B85:J85"/>
    <mergeCell ref="B102:J102"/>
    <mergeCell ref="B26:J26"/>
  </mergeCells>
  <dataValidations count="1">
    <dataValidation type="list" errorTitle="Segment" error="Choose Total, SMB, Mid-Market or Enterprise." sqref="C87" xr:uid="{00000000-0002-0000-0100-000000000000}">
      <formula1>"Total,SMB,Mid-Market,Enterprise"</formula1>
    </dataValidation>
  </dataValidations>
  <hyperlinks>
    <hyperlink ref="J1" location="'Model Guide'!A1" display="← Model Guide" xr:uid="{5C0577F7-72DE-45FE-A752-8F0B1E952C45}"/>
  </hyperlinks>
  <pageMargins left="0.19444444444444445" right="0.19444444444444445" top="0.27777777777777779" bottom="0.27777777777777779" header="0.5" footer="0.5"/>
  <pageSetup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5E8C"/>
    <pageSetUpPr fitToPage="1"/>
  </sheetPr>
  <dimension ref="B1:Y56"/>
  <sheetViews>
    <sheetView showGridLines="0" zoomScaleNormal="10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40" customWidth="1"/>
    <col min="3" max="5" width="16" customWidth="1"/>
    <col min="6" max="6" width="2" customWidth="1"/>
    <col min="7" max="15" width="10.453125" customWidth="1"/>
  </cols>
  <sheetData>
    <row r="1" spans="2:25" ht="24" customHeight="1" x14ac:dyDescent="0.35">
      <c r="B1" s="37" t="s">
        <v>0</v>
      </c>
      <c r="E1" s="147" t="s">
        <v>939</v>
      </c>
    </row>
    <row r="2" spans="2:25" ht="15" customHeight="1" x14ac:dyDescent="0.35">
      <c r="B2" s="38" t="s">
        <v>274</v>
      </c>
    </row>
    <row r="3" spans="2:25" ht="12" customHeight="1" x14ac:dyDescent="0.35">
      <c r="B3" s="39" t="s">
        <v>2</v>
      </c>
    </row>
    <row r="4" spans="2:25" ht="12" customHeight="1" x14ac:dyDescent="0.35">
      <c r="B4" s="39" t="s">
        <v>897</v>
      </c>
    </row>
    <row r="5" spans="2:25" ht="7" customHeight="1" x14ac:dyDescent="0.35">
      <c r="B5" s="40"/>
      <c r="C5" s="40"/>
      <c r="D5" s="40"/>
      <c r="E5" s="40"/>
      <c r="F5" s="46"/>
      <c r="G5" s="46"/>
      <c r="H5" s="46"/>
      <c r="I5" s="46"/>
      <c r="J5" s="46"/>
      <c r="K5" s="46"/>
      <c r="L5" s="46"/>
      <c r="M5" s="46"/>
      <c r="N5" s="46"/>
      <c r="O5" s="46"/>
      <c r="P5" s="46"/>
      <c r="Q5" s="46"/>
      <c r="R5" s="46"/>
      <c r="S5" s="46"/>
      <c r="T5" s="46"/>
      <c r="U5" s="46"/>
      <c r="V5" s="46"/>
      <c r="W5" s="46"/>
      <c r="X5" s="46"/>
      <c r="Y5" s="46"/>
    </row>
    <row r="6" spans="2:25" ht="7" customHeight="1" x14ac:dyDescent="0.35"/>
    <row r="7" spans="2:25" ht="18" customHeight="1" thickBot="1" x14ac:dyDescent="0.4">
      <c r="B7" s="21" t="s">
        <v>1151</v>
      </c>
      <c r="C7" s="41"/>
      <c r="D7" s="41"/>
      <c r="E7" s="41"/>
    </row>
    <row r="8" spans="2:25" ht="43" customHeight="1" x14ac:dyDescent="0.35">
      <c r="B8" s="296" t="s">
        <v>1152</v>
      </c>
      <c r="C8" s="296"/>
      <c r="D8" s="296"/>
      <c r="E8" s="296"/>
      <c r="F8" s="117"/>
      <c r="G8" s="117"/>
    </row>
    <row r="9" spans="2:25" ht="15" customHeight="1" x14ac:dyDescent="0.35">
      <c r="B9" s="117"/>
      <c r="C9" s="117"/>
      <c r="D9" s="117"/>
      <c r="E9" s="117"/>
    </row>
    <row r="10" spans="2:25" ht="15" customHeight="1" x14ac:dyDescent="0.35">
      <c r="B10" s="117"/>
      <c r="C10" s="117"/>
      <c r="D10" s="117"/>
      <c r="E10" s="117"/>
    </row>
    <row r="11" spans="2:25" ht="15" customHeight="1" x14ac:dyDescent="0.35">
      <c r="B11" s="117"/>
      <c r="C11" s="117"/>
      <c r="D11" s="117"/>
      <c r="E11" s="117"/>
    </row>
    <row r="12" spans="2:25" ht="15" customHeight="1" x14ac:dyDescent="0.35">
      <c r="B12" s="117"/>
      <c r="C12" s="117"/>
      <c r="D12" s="117"/>
      <c r="E12" s="117"/>
    </row>
    <row r="13" spans="2:25" ht="15" customHeight="1" x14ac:dyDescent="0.35">
      <c r="B13" s="117"/>
      <c r="C13" s="117"/>
      <c r="D13" s="117"/>
      <c r="E13" s="117"/>
    </row>
    <row r="14" spans="2:25" ht="15" customHeight="1" x14ac:dyDescent="0.35">
      <c r="B14" s="117"/>
      <c r="C14" s="117"/>
      <c r="D14" s="117"/>
      <c r="E14" s="117"/>
    </row>
    <row r="15" spans="2:25" ht="15" customHeight="1" x14ac:dyDescent="0.35">
      <c r="B15" s="117"/>
      <c r="C15" s="117"/>
      <c r="D15" s="117"/>
      <c r="E15" s="117"/>
    </row>
    <row r="16" spans="2:25" ht="15" customHeight="1" x14ac:dyDescent="0.35">
      <c r="B16" s="117"/>
      <c r="C16" s="117"/>
      <c r="D16" s="117"/>
      <c r="E16" s="117"/>
    </row>
    <row r="17" spans="2:5" ht="15" customHeight="1" x14ac:dyDescent="0.35">
      <c r="B17" s="117"/>
      <c r="C17" s="117"/>
      <c r="D17" s="117"/>
      <c r="E17" s="117"/>
    </row>
    <row r="18" spans="2:5" ht="15" customHeight="1" x14ac:dyDescent="0.35">
      <c r="B18" s="117"/>
      <c r="C18" s="117"/>
      <c r="D18" s="117"/>
      <c r="E18" s="117"/>
    </row>
    <row r="19" spans="2:5" ht="15" customHeight="1" x14ac:dyDescent="0.35">
      <c r="B19" s="117"/>
      <c r="C19" s="117"/>
      <c r="D19" s="117"/>
      <c r="E19" s="117"/>
    </row>
    <row r="20" spans="2:5" ht="15" customHeight="1" x14ac:dyDescent="0.35">
      <c r="B20" s="117"/>
      <c r="C20" s="117"/>
      <c r="D20" s="117"/>
      <c r="E20" s="117"/>
    </row>
    <row r="21" spans="2:5" ht="15" customHeight="1" x14ac:dyDescent="0.35">
      <c r="B21" s="117"/>
      <c r="C21" s="117"/>
      <c r="D21" s="117"/>
      <c r="E21" s="117"/>
    </row>
    <row r="22" spans="2:5" ht="15" customHeight="1" x14ac:dyDescent="0.35">
      <c r="B22" s="117"/>
      <c r="C22" s="117"/>
      <c r="D22" s="117"/>
      <c r="E22" s="117"/>
    </row>
    <row r="23" spans="2:5" ht="15" customHeight="1" x14ac:dyDescent="0.35">
      <c r="B23" s="117"/>
      <c r="C23" s="117"/>
      <c r="D23" s="117"/>
      <c r="E23" s="117"/>
    </row>
    <row r="24" spans="2:5" ht="15" customHeight="1" x14ac:dyDescent="0.35">
      <c r="B24" s="117"/>
      <c r="C24" s="117"/>
      <c r="D24" s="117"/>
      <c r="E24" s="117"/>
    </row>
    <row r="25" spans="2:5" ht="15" customHeight="1" x14ac:dyDescent="0.35">
      <c r="B25" s="117"/>
      <c r="C25" s="117"/>
      <c r="D25" s="117"/>
      <c r="E25" s="117"/>
    </row>
    <row r="26" spans="2:5" ht="26" customHeight="1" x14ac:dyDescent="0.35">
      <c r="B26" s="274" t="s">
        <v>1156</v>
      </c>
      <c r="C26" s="297"/>
      <c r="D26" s="297"/>
      <c r="E26" s="297"/>
    </row>
    <row r="27" spans="2:5" ht="26" customHeight="1" x14ac:dyDescent="0.35">
      <c r="B27" s="20" t="s">
        <v>895</v>
      </c>
      <c r="C27" s="42" t="s">
        <v>275</v>
      </c>
      <c r="D27" s="89" t="s">
        <v>276</v>
      </c>
      <c r="E27" s="42" t="s">
        <v>277</v>
      </c>
    </row>
    <row r="28" spans="2:5" ht="15" customHeight="1" x14ac:dyDescent="0.35">
      <c r="B28" s="34" t="s">
        <v>278</v>
      </c>
      <c r="C28" s="24">
        <f>IF('Forecast Drivers'!$D$10="Bear",'Forecast Drivers'!$I$82,_xlfn.XLOOKUP("Bear",tbl_scenario_summary[scenario],tbl_scenario_summary[dec_2026_exit_arr]))</f>
        <v>33553421.70294353</v>
      </c>
      <c r="D28" s="92">
        <f>IF('Forecast Drivers'!$D$10="Base",'Forecast Drivers'!$I$82,_xlfn.XLOOKUP("Base",tbl_scenario_summary[scenario],tbl_scenario_summary[dec_2026_exit_arr]))</f>
        <v>34816416.564797632</v>
      </c>
      <c r="E28" s="24">
        <f>IF('Forecast Drivers'!$D$10="Bull",'Forecast Drivers'!$I$82,_xlfn.XLOOKUP("Bull",tbl_scenario_summary[scenario],tbl_scenario_summary[dec_2026_exit_arr]))</f>
        <v>36123036.630151823</v>
      </c>
    </row>
    <row r="29" spans="2:5" ht="15" customHeight="1" x14ac:dyDescent="0.35">
      <c r="B29" s="18" t="s">
        <v>279</v>
      </c>
      <c r="C29" s="23">
        <f>_xlfn.XLOOKUP("Bear",tbl_scenario_summary[scenario],tbl_scenario_summary[fy2026_revenue])</f>
        <v>32571935.842323769</v>
      </c>
      <c r="D29" s="93">
        <f>_xlfn.XLOOKUP("Base",tbl_scenario_summary[scenario],tbl_scenario_summary[fy2026_revenue])</f>
        <v>32790970.251651369</v>
      </c>
      <c r="E29" s="23">
        <f>_xlfn.XLOOKUP("Bull",tbl_scenario_summary[scenario],tbl_scenario_summary[fy2026_revenue])</f>
        <v>33024317.950149331</v>
      </c>
    </row>
    <row r="30" spans="2:5" ht="15" customHeight="1" x14ac:dyDescent="0.35">
      <c r="B30" s="18" t="s">
        <v>280</v>
      </c>
      <c r="C30" s="23">
        <f>_xlfn.XLOOKUP("Bear",tbl_scenario_summary[scenario],tbl_scenario_summary[fy2026_operating_income])</f>
        <v>-5910400.1241434943</v>
      </c>
      <c r="D30" s="93">
        <f>_xlfn.XLOOKUP("Base",tbl_scenario_summary[scenario],tbl_scenario_summary[fy2026_operating_income])</f>
        <v>-5713689.1711312355</v>
      </c>
      <c r="E30" s="23">
        <f>_xlfn.XLOOKUP("Bull",tbl_scenario_summary[scenario],tbl_scenario_summary[fy2026_operating_income])</f>
        <v>-5507025.0889395718</v>
      </c>
    </row>
    <row r="31" spans="2:5" ht="15" customHeight="1" x14ac:dyDescent="0.35">
      <c r="B31" s="18" t="s">
        <v>281</v>
      </c>
      <c r="C31" s="23">
        <f>_xlfn.XLOOKUP("Bear",tbl_scenario_summary[scenario],tbl_scenario_summary[dec_2027_exit_arr])</f>
        <v>37456821.811469272</v>
      </c>
      <c r="D31" s="93">
        <f>_xlfn.XLOOKUP("Base",tbl_scenario_summary[scenario],tbl_scenario_summary[dec_2027_exit_arr])</f>
        <v>41566296.055865154</v>
      </c>
      <c r="E31" s="23">
        <f>_xlfn.XLOOKUP("Bull",tbl_scenario_summary[scenario],tbl_scenario_summary[dec_2027_exit_arr])</f>
        <v>46032954.526919052</v>
      </c>
    </row>
    <row r="32" spans="2:5" ht="15" customHeight="1" x14ac:dyDescent="0.35">
      <c r="B32" s="18" t="s">
        <v>282</v>
      </c>
      <c r="C32" s="23">
        <f>IF('Forecast Drivers'!$D$10="Bear",'Cash Flow'!$I$52,_xlfn.XLOOKUP("Bear",tbl_scenario_summary[scenario],tbl_scenario_summary[dec_2026_cash]))</f>
        <v>18740895.811323062</v>
      </c>
      <c r="D32" s="93">
        <f>IF('Forecast Drivers'!$D$10="Base",'Cash Flow'!$I$52,_xlfn.XLOOKUP("Base",tbl_scenario_summary[scenario],tbl_scenario_summary[dec_2026_cash]))</f>
        <v>18845495.342542991</v>
      </c>
      <c r="E32" s="23">
        <f>IF('Forecast Drivers'!$D$10="Bull",'Cash Flow'!$I$52,_xlfn.XLOOKUP("Bull",tbl_scenario_summary[scenario],tbl_scenario_summary[dec_2026_cash]))</f>
        <v>18953992.751578689</v>
      </c>
    </row>
    <row r="33" spans="2:7" ht="15" customHeight="1" x14ac:dyDescent="0.35">
      <c r="B33" s="18" t="s">
        <v>283</v>
      </c>
      <c r="C33" s="23">
        <f>_xlfn.XLOOKUP("Bear",tbl_scenario_summary[scenario],tbl_scenario_summary[dec_2027_cash])</f>
        <v>14396514.012343319</v>
      </c>
      <c r="D33" s="93">
        <f>_xlfn.XLOOKUP("Base",tbl_scenario_summary[scenario],tbl_scenario_summary[dec_2027_cash])</f>
        <v>16895401.660563219</v>
      </c>
      <c r="E33" s="23">
        <f>_xlfn.XLOOKUP("Bull",tbl_scenario_summary[scenario],tbl_scenario_summary[dec_2027_cash])</f>
        <v>19513485.40707523</v>
      </c>
    </row>
    <row r="34" spans="2:7" ht="15" customHeight="1" x14ac:dyDescent="0.35">
      <c r="B34" s="18" t="s">
        <v>284</v>
      </c>
      <c r="C34" s="55">
        <f>_xlfn.XLOOKUP("Bear",tbl_scenario_summary[scenario],tbl_scenario_summary[policy_avg_monthly_burn])</f>
        <v>926092.11227898079</v>
      </c>
      <c r="D34" s="94">
        <f>_xlfn.XLOOKUP("Base",tbl_scenario_summary[scenario],tbl_scenario_summary[policy_avg_monthly_burn])</f>
        <v>850000</v>
      </c>
      <c r="E34" s="55">
        <f>_xlfn.XLOOKUP("Bull",tbl_scenario_summary[scenario],tbl_scenario_summary[policy_avg_monthly_burn])</f>
        <v>771318.43498553091</v>
      </c>
    </row>
    <row r="35" spans="2:7" ht="15" customHeight="1" x14ac:dyDescent="0.35">
      <c r="B35" s="34" t="s">
        <v>285</v>
      </c>
      <c r="C35" s="60">
        <f>_xlfn.XLOOKUP("Bear",tbl_scenario_summary[scenario],tbl_scenario_summary[policy_runway_months])</f>
        <v>23.539775051483051</v>
      </c>
      <c r="D35" s="95">
        <f>_xlfn.XLOOKUP("Base",tbl_scenario_summary[scenario],tbl_scenario_summary[policy_runway_months])</f>
        <v>25.647058823529409</v>
      </c>
      <c r="E35" s="60">
        <f>_xlfn.XLOOKUP("Bull",tbl_scenario_summary[scenario],tbl_scenario_summary[policy_runway_months])</f>
        <v>28.263294394628261</v>
      </c>
    </row>
    <row r="36" spans="2:7" ht="15" customHeight="1" x14ac:dyDescent="0.35">
      <c r="B36" s="18" t="s">
        <v>286</v>
      </c>
      <c r="C36" s="96">
        <f>_xlfn.XLOOKUP("Bear",tbl_scenario_summary[scenario],tbl_scenario_summary[headroom_months])</f>
        <v>-0.46022494851694518</v>
      </c>
      <c r="D36" s="97">
        <f>_xlfn.XLOOKUP("Base",tbl_scenario_summary[scenario],tbl_scenario_summary[headroom_months])</f>
        <v>1.647058823529413</v>
      </c>
      <c r="E36" s="96">
        <f>_xlfn.XLOOKUP("Bull",tbl_scenario_summary[scenario],tbl_scenario_summary[headroom_months])</f>
        <v>4.2632943946282644</v>
      </c>
    </row>
    <row r="37" spans="2:7" ht="15" customHeight="1" x14ac:dyDescent="0.35">
      <c r="B37" s="18" t="s">
        <v>287</v>
      </c>
      <c r="C37" s="27" t="str">
        <f>_xlfn.XLOOKUP("Bear",tbl_scenario_summary[scenario],tbl_scenario_summary[breaches_floor])</f>
        <v>Yes</v>
      </c>
      <c r="D37" s="98" t="str">
        <f>_xlfn.XLOOKUP("Base",tbl_scenario_summary[scenario],tbl_scenario_summary[breaches_floor])</f>
        <v>No</v>
      </c>
      <c r="E37" s="27" t="str">
        <f>_xlfn.XLOOKUP("Bull",tbl_scenario_summary[scenario],tbl_scenario_summary[breaches_floor])</f>
        <v>No</v>
      </c>
    </row>
    <row r="38" spans="2:7" ht="15" customHeight="1" x14ac:dyDescent="0.35"/>
    <row r="39" spans="2:7" ht="12" customHeight="1" x14ac:dyDescent="0.35">
      <c r="B39" s="39" t="s">
        <v>288</v>
      </c>
    </row>
    <row r="40" spans="2:7" ht="7" customHeight="1" x14ac:dyDescent="0.35"/>
    <row r="41" spans="2:7" ht="15" customHeight="1" x14ac:dyDescent="0.35"/>
    <row r="42" spans="2:7" ht="18" customHeight="1" thickBot="1" x14ac:dyDescent="0.4">
      <c r="B42" s="21" t="s">
        <v>289</v>
      </c>
      <c r="C42" s="41"/>
      <c r="D42" s="41"/>
      <c r="E42" s="41"/>
    </row>
    <row r="43" spans="2:7" ht="30" customHeight="1" x14ac:dyDescent="0.35">
      <c r="B43" s="296" t="s">
        <v>290</v>
      </c>
      <c r="C43" s="296"/>
      <c r="D43" s="296"/>
      <c r="E43" s="296"/>
      <c r="F43" s="117"/>
      <c r="G43" s="117"/>
    </row>
    <row r="44" spans="2:7" ht="7" customHeight="1" x14ac:dyDescent="0.35"/>
    <row r="45" spans="2:7" ht="26" customHeight="1" x14ac:dyDescent="0.35">
      <c r="B45" s="20" t="s">
        <v>291</v>
      </c>
      <c r="C45" s="42" t="s">
        <v>275</v>
      </c>
      <c r="D45" s="42" t="s">
        <v>276</v>
      </c>
      <c r="E45" s="42" t="s">
        <v>277</v>
      </c>
    </row>
    <row r="46" spans="2:7" ht="15" customHeight="1" x14ac:dyDescent="0.35">
      <c r="B46" s="18" t="s">
        <v>292</v>
      </c>
      <c r="C46" s="99">
        <f>_xlfn.XLOOKUP("Bear",tbl_scenario_summary[scenario],tbl_scenario_summary[win_rate_multiplier])</f>
        <v>0.85</v>
      </c>
      <c r="D46" s="99">
        <f>_xlfn.XLOOKUP("Base",tbl_scenario_summary[scenario],tbl_scenario_summary[win_rate_multiplier])</f>
        <v>1</v>
      </c>
      <c r="E46" s="99">
        <f>_xlfn.XLOOKUP("Bull",tbl_scenario_summary[scenario],tbl_scenario_summary[win_rate_multiplier])</f>
        <v>1.1499999999999999</v>
      </c>
    </row>
    <row r="47" spans="2:7" ht="12" customHeight="1" x14ac:dyDescent="0.35">
      <c r="B47" s="18" t="s">
        <v>293</v>
      </c>
      <c r="C47" s="99">
        <f>_xlfn.XLOOKUP("Bear",tbl_scenario_summary[scenario],tbl_scenario_summary[attainment_multiplier])</f>
        <v>0.85</v>
      </c>
      <c r="D47" s="99">
        <f>_xlfn.XLOOKUP("Base",tbl_scenario_summary[scenario],tbl_scenario_summary[attainment_multiplier])</f>
        <v>1</v>
      </c>
      <c r="E47" s="99">
        <f>_xlfn.XLOOKUP("Bull",tbl_scenario_summary[scenario],tbl_scenario_summary[attainment_multiplier])</f>
        <v>1.1499999999999999</v>
      </c>
    </row>
    <row r="48" spans="2:7" ht="15" customHeight="1" x14ac:dyDescent="0.35">
      <c r="B48" s="18" t="s">
        <v>294</v>
      </c>
      <c r="C48" s="99">
        <f>_xlfn.XLOOKUP("Bear",tbl_scenario_summary[scenario],tbl_scenario_summary[pipeline_creation_multiplier])</f>
        <v>0.8</v>
      </c>
      <c r="D48" s="99">
        <f>_xlfn.XLOOKUP("Base",tbl_scenario_summary[scenario],tbl_scenario_summary[pipeline_creation_multiplier])</f>
        <v>1</v>
      </c>
      <c r="E48" s="99">
        <f>_xlfn.XLOOKUP("Bull",tbl_scenario_summary[scenario],tbl_scenario_summary[pipeline_creation_multiplier])</f>
        <v>1.25</v>
      </c>
    </row>
    <row r="49" spans="2:5" ht="15" customHeight="1" x14ac:dyDescent="0.35">
      <c r="B49" s="18" t="s">
        <v>295</v>
      </c>
      <c r="C49" s="99">
        <f>_xlfn.XLOOKUP("Bear",tbl_scenario_summary[scenario],tbl_scenario_summary[retention_severity_multiplier])</f>
        <v>1.2</v>
      </c>
      <c r="D49" s="99">
        <f>_xlfn.XLOOKUP("Base",tbl_scenario_summary[scenario],tbl_scenario_summary[retention_severity_multiplier])</f>
        <v>1</v>
      </c>
      <c r="E49" s="99">
        <f>_xlfn.XLOOKUP("Bull",tbl_scenario_summary[scenario],tbl_scenario_summary[retention_severity_multiplier])</f>
        <v>0.85</v>
      </c>
    </row>
    <row r="50" spans="2:5" ht="15" customHeight="1" x14ac:dyDescent="0.35">
      <c r="B50" s="18" t="s">
        <v>296</v>
      </c>
      <c r="C50" s="99">
        <f>_xlfn.XLOOKUP("Bear",tbl_scenario_summary[scenario],tbl_scenario_summary[expansion_multiplier])</f>
        <v>0.85</v>
      </c>
      <c r="D50" s="99">
        <f>_xlfn.XLOOKUP("Base",tbl_scenario_summary[scenario],tbl_scenario_summary[expansion_multiplier])</f>
        <v>1</v>
      </c>
      <c r="E50" s="99">
        <f>_xlfn.XLOOKUP("Bull",tbl_scenario_summary[scenario],tbl_scenario_summary[expansion_multiplier])</f>
        <v>1.2</v>
      </c>
    </row>
    <row r="51" spans="2:5" ht="15" customHeight="1" x14ac:dyDescent="0.35"/>
    <row r="52" spans="2:5" ht="40.25" customHeight="1" x14ac:dyDescent="0.35">
      <c r="B52" s="298" t="s">
        <v>297</v>
      </c>
      <c r="C52" s="298"/>
      <c r="D52" s="298"/>
      <c r="E52" s="298"/>
    </row>
    <row r="53" spans="2:5" ht="15" customHeight="1" x14ac:dyDescent="0.35"/>
    <row r="54" spans="2:5" ht="12" customHeight="1" x14ac:dyDescent="0.35">
      <c r="B54" s="39" t="s">
        <v>298</v>
      </c>
    </row>
    <row r="55" spans="2:5" ht="7" customHeight="1" x14ac:dyDescent="0.35"/>
    <row r="56" spans="2:5" ht="15" customHeight="1" x14ac:dyDescent="0.35"/>
  </sheetData>
  <mergeCells count="4">
    <mergeCell ref="B52:E52"/>
    <mergeCell ref="B8:E8"/>
    <mergeCell ref="B43:E43"/>
    <mergeCell ref="B26:E26"/>
  </mergeCells>
  <conditionalFormatting sqref="C36:E36">
    <cfRule type="cellIs" dxfId="32" priority="1" operator="lessThan">
      <formula>0</formula>
    </cfRule>
    <cfRule type="cellIs" dxfId="31" priority="2" operator="greaterThan">
      <formula>0</formula>
    </cfRule>
  </conditionalFormatting>
  <hyperlinks>
    <hyperlink ref="E1" location="'Model Guide'!A1" display="← Model Guide" xr:uid="{308DD680-22FF-4881-BCE4-778DEA786805}"/>
  </hyperlinks>
  <pageMargins left="0.19444444444444445" right="0.19444444444444445" top="0.27777777777777779" bottom="0.27777777777777779" header="0.5" footer="0.5"/>
  <pageSetup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5F026-154B-418F-95FD-93C080C4BA78}">
  <sheetPr>
    <tabColor rgb="FF2E5E8C"/>
    <pageSetUpPr fitToPage="1"/>
  </sheetPr>
  <dimension ref="B1:J96"/>
  <sheetViews>
    <sheetView showGridLines="0" zoomScale="85" zoomScaleNormal="85" workbookViewId="0">
      <pane xSplit="3" ySplit="8" topLeftCell="D9" activePane="bottomRight" state="frozen"/>
      <selection pane="topRight" activeCell="D1" sqref="D1"/>
      <selection pane="bottomLeft" activeCell="A7" sqref="A7"/>
      <selection pane="bottomRight"/>
    </sheetView>
  </sheetViews>
  <sheetFormatPr defaultRowHeight="14.5" x14ac:dyDescent="0.35"/>
  <cols>
    <col min="1" max="1" width="2.453125" customWidth="1"/>
    <col min="2" max="2" width="38.6328125" customWidth="1"/>
    <col min="3" max="3" width="22.6328125" customWidth="1"/>
    <col min="4" max="10" width="14.6328125" customWidth="1"/>
  </cols>
  <sheetData>
    <row r="1" spans="2:10" ht="24" customHeight="1" x14ac:dyDescent="0.35">
      <c r="B1" s="132" t="s">
        <v>0</v>
      </c>
      <c r="J1" s="175" t="s">
        <v>939</v>
      </c>
    </row>
    <row r="2" spans="2:10" ht="15" customHeight="1" x14ac:dyDescent="0.35">
      <c r="B2" s="133" t="s">
        <v>1041</v>
      </c>
    </row>
    <row r="3" spans="2:10" ht="12" customHeight="1" x14ac:dyDescent="0.35">
      <c r="B3" s="134" t="s">
        <v>2</v>
      </c>
    </row>
    <row r="4" spans="2:10" ht="12" customHeight="1" x14ac:dyDescent="0.35">
      <c r="B4" s="134" t="s">
        <v>897</v>
      </c>
    </row>
    <row r="5" spans="2:10" ht="7" customHeight="1" x14ac:dyDescent="0.35"/>
    <row r="6" spans="2:10" ht="18" customHeight="1" thickBot="1" x14ac:dyDescent="0.4">
      <c r="B6" s="186" t="s">
        <v>1132</v>
      </c>
      <c r="C6" s="187"/>
      <c r="D6" s="187"/>
      <c r="E6" s="187"/>
      <c r="F6" s="187"/>
      <c r="G6" s="187"/>
      <c r="H6" s="187"/>
      <c r="I6" s="187"/>
      <c r="J6" s="187"/>
    </row>
    <row r="7" spans="2:10" ht="30" customHeight="1" x14ac:dyDescent="0.35">
      <c r="B7" s="300" t="s">
        <v>1136</v>
      </c>
      <c r="C7" s="301"/>
      <c r="D7" s="301"/>
      <c r="E7" s="301"/>
      <c r="F7" s="301"/>
      <c r="G7" s="301"/>
      <c r="H7" s="301"/>
      <c r="I7" s="301"/>
      <c r="J7" s="301"/>
    </row>
    <row r="8" spans="2:10" ht="7" customHeight="1" x14ac:dyDescent="0.35"/>
    <row r="9" spans="2:10" ht="15" customHeight="1" x14ac:dyDescent="0.35"/>
    <row r="10" spans="2:10" ht="15" customHeight="1" x14ac:dyDescent="0.35"/>
    <row r="11" spans="2:10" ht="15" customHeight="1" x14ac:dyDescent="0.35"/>
    <row r="12" spans="2:10" ht="15" customHeight="1" x14ac:dyDescent="0.35"/>
    <row r="13" spans="2:10" ht="15" customHeight="1" x14ac:dyDescent="0.35"/>
    <row r="14" spans="2:10" ht="15" customHeight="1" x14ac:dyDescent="0.35"/>
    <row r="15" spans="2:10" ht="15" customHeight="1" x14ac:dyDescent="0.35"/>
    <row r="16" spans="2:10" ht="15" customHeight="1" x14ac:dyDescent="0.35"/>
    <row r="17" spans="2:10" ht="15" customHeight="1" x14ac:dyDescent="0.35"/>
    <row r="18" spans="2:10" ht="15" customHeight="1" x14ac:dyDescent="0.35"/>
    <row r="19" spans="2:10" ht="15" customHeight="1" x14ac:dyDescent="0.35"/>
    <row r="20" spans="2:10" ht="15" customHeight="1" x14ac:dyDescent="0.35"/>
    <row r="21" spans="2:10" ht="15" customHeight="1" x14ac:dyDescent="0.35"/>
    <row r="22" spans="2:10" ht="15" customHeight="1" x14ac:dyDescent="0.35"/>
    <row r="23" spans="2:10" ht="15" customHeight="1" x14ac:dyDescent="0.35"/>
    <row r="24" spans="2:10" ht="15" customHeight="1" x14ac:dyDescent="0.35"/>
    <row r="25" spans="2:10" ht="14" customHeight="1" x14ac:dyDescent="0.35">
      <c r="B25" s="302" t="s">
        <v>1120</v>
      </c>
      <c r="C25" s="303"/>
      <c r="D25" s="303"/>
      <c r="E25" s="309" t="s">
        <v>1134</v>
      </c>
      <c r="F25" s="303"/>
      <c r="G25" s="303"/>
      <c r="H25" s="309" t="s">
        <v>1135</v>
      </c>
      <c r="I25" s="303"/>
      <c r="J25" s="303"/>
    </row>
    <row r="26" spans="2:10" ht="26" customHeight="1" x14ac:dyDescent="0.35">
      <c r="B26" s="304">
        <f>_xlfn.XLOOKUP('Forecast Drivers'!$D$10,tbl_runway_policy[path],tbl_runway_policy[policy_runway_months])</f>
        <v>25.647058823529409</v>
      </c>
      <c r="C26" s="305"/>
      <c r="D26" s="305"/>
      <c r="E26" s="310">
        <f>_xlfn.XLOOKUP('Forecast Drivers'!$D$10,tbl_runway_policy[path],tbl_runway_policy[policy_avg_monthly_burn])</f>
        <v>850000</v>
      </c>
      <c r="F26" s="305"/>
      <c r="G26" s="305"/>
      <c r="H26" s="312">
        <f>$I$52</f>
        <v>18845495.342542991</v>
      </c>
      <c r="I26" s="305"/>
      <c r="J26" s="305"/>
    </row>
    <row r="27" spans="2:10" ht="14" customHeight="1" x14ac:dyDescent="0.35">
      <c r="B27" s="306" t="str">
        <f>"floor "&amp;TEXT(_xlfn.XLOOKUP('Forecast Drivers'!$D$10,tbl_runway_policy[path],tbl_runway_policy[board_runway_floor_months]),"0.0")&amp;" mo   "&amp;TEXT(_xlfn.XLOOKUP('Forecast Drivers'!$D$10,tbl_runway_policy[path],tbl_runway_policy[headroom_months]),"+0.0;-0.0")&amp;" mo headroom"</f>
        <v>floor 24.0 mo   +1.6 mo headroom</v>
      </c>
      <c r="C27" s="307"/>
      <c r="D27" s="308"/>
      <c r="E27" s="311" t="str">
        <f>"Jun-26 cash of "&amp;TEXT(_xlfn.XLOOKUP('Forecast Drivers'!$D$10,tbl_runway_policy[path],tbl_runway_policy[opening_cash]),"$#,##0.0,,""M""")&amp;" divided by this burn"</f>
        <v>Jun-26 cash of $21.8M divided by this burn</v>
      </c>
      <c r="F27" s="307"/>
      <c r="G27" s="308"/>
      <c r="H27" s="311" t="str">
        <f>"from "&amp;TEXT($D$47,"$#,##0.0,,""M""")&amp;" at Jun-26, per the schedule below"</f>
        <v>from $21.8M at Jun-26, per the schedule below</v>
      </c>
      <c r="I27" s="307"/>
      <c r="J27" s="307"/>
    </row>
    <row r="28" spans="2:10" ht="7" customHeight="1" x14ac:dyDescent="0.35"/>
    <row r="29" spans="2:10" ht="18" customHeight="1" thickBot="1" x14ac:dyDescent="0.4">
      <c r="B29" s="135" t="s">
        <v>1042</v>
      </c>
      <c r="C29" s="136"/>
      <c r="D29" s="136"/>
      <c r="E29" s="136"/>
      <c r="F29" s="136"/>
      <c r="G29" s="136"/>
      <c r="H29" s="136"/>
      <c r="I29" s="136"/>
      <c r="J29" s="136"/>
    </row>
    <row r="30" spans="2:10" ht="30" customHeight="1" x14ac:dyDescent="0.35">
      <c r="B30" s="299" t="s">
        <v>1105</v>
      </c>
      <c r="C30" s="299"/>
      <c r="D30" s="299"/>
      <c r="E30" s="299"/>
      <c r="F30" s="299"/>
      <c r="G30" s="299"/>
      <c r="H30" s="299"/>
      <c r="I30" s="299"/>
      <c r="J30" s="299"/>
    </row>
    <row r="31" spans="2:10" ht="7" customHeight="1" x14ac:dyDescent="0.35"/>
    <row r="32" spans="2:10" ht="26" customHeight="1" x14ac:dyDescent="0.35">
      <c r="B32" s="237" t="s">
        <v>1043</v>
      </c>
      <c r="C32" s="238"/>
      <c r="D32" s="239" t="s">
        <v>59</v>
      </c>
      <c r="E32" s="239" t="s">
        <v>61</v>
      </c>
      <c r="F32" s="239" t="s">
        <v>63</v>
      </c>
      <c r="G32" s="239" t="s">
        <v>64</v>
      </c>
      <c r="H32" s="239" t="s">
        <v>65</v>
      </c>
      <c r="I32" s="239" t="s">
        <v>66</v>
      </c>
      <c r="J32" s="238" t="s">
        <v>370</v>
      </c>
    </row>
    <row r="33" spans="2:10" ht="15" customHeight="1" x14ac:dyDescent="0.35">
      <c r="B33" s="240" t="s">
        <v>1026</v>
      </c>
      <c r="C33" s="231"/>
      <c r="D33" s="241">
        <f>'Forecast Drivers'!D92</f>
        <v>2788191.5450680931</v>
      </c>
      <c r="E33" s="241">
        <f>'Forecast Drivers'!E92</f>
        <v>2793140.867265</v>
      </c>
      <c r="F33" s="241">
        <f>'Forecast Drivers'!F92</f>
        <v>2821909.618525886</v>
      </c>
      <c r="G33" s="241">
        <f>'Forecast Drivers'!G92</f>
        <v>2844896.6146333353</v>
      </c>
      <c r="H33" s="241">
        <f>'Forecast Drivers'!H92</f>
        <v>2911800.7428159155</v>
      </c>
      <c r="I33" s="241">
        <f>'Forecast Drivers'!I92</f>
        <v>2935696.8033431396</v>
      </c>
      <c r="J33" s="242">
        <f>SUM(D33:I33)</f>
        <v>17095636.191651367</v>
      </c>
    </row>
    <row r="34" spans="2:10" ht="15" customHeight="1" x14ac:dyDescent="0.35">
      <c r="B34" s="243" t="s">
        <v>167</v>
      </c>
      <c r="C34" s="157" t="s">
        <v>1044</v>
      </c>
      <c r="D34" s="241">
        <f>-'Forecast Drivers'!D90*(SUMIFS(tbl_pnl_monthly[subscription_cogs],tbl_pnl_monthly[month_label],D$32)/SUMIFS(tbl_pnl_monthly[subscription_revenue],tbl_pnl_monthly[month_label],D$32))</f>
        <v>-514420.25826188986</v>
      </c>
      <c r="E34" s="241">
        <f>-'Forecast Drivers'!E90*(SUMIFS(tbl_pnl_monthly[subscription_cogs],tbl_pnl_monthly[month_label],E$32)/SUMIFS(tbl_pnl_monthly[subscription_revenue],tbl_pnl_monthly[month_label],E$32))</f>
        <v>-546837.40436815831</v>
      </c>
      <c r="F34" s="241">
        <f>-'Forecast Drivers'!F90*(SUMIFS(tbl_pnl_monthly[subscription_cogs],tbl_pnl_monthly[month_label],F$32)/SUMIFS(tbl_pnl_monthly[subscription_revenue],tbl_pnl_monthly[month_label],F$32))</f>
        <v>-545498.33321469277</v>
      </c>
      <c r="G34" s="241">
        <f>-'Forecast Drivers'!G90*(SUMIFS(tbl_pnl_monthly[subscription_cogs],tbl_pnl_monthly[month_label],G$32)/SUMIFS(tbl_pnl_monthly[subscription_revenue],tbl_pnl_monthly[month_label],G$32))</f>
        <v>-544164.29766973248</v>
      </c>
      <c r="H34" s="241">
        <f>-'Forecast Drivers'!H90*(SUMIFS(tbl_pnl_monthly[subscription_cogs],tbl_pnl_monthly[month_label],H$32)/SUMIFS(tbl_pnl_monthly[subscription_revenue],tbl_pnl_monthly[month_label],H$32))</f>
        <v>-542835.2787482891</v>
      </c>
      <c r="I34" s="241">
        <f>-'Forecast Drivers'!I90*(SUMIFS(tbl_pnl_monthly[subscription_cogs],tbl_pnl_monthly[month_label],I$32)/SUMIFS(tbl_pnl_monthly[subscription_revenue],tbl_pnl_monthly[month_label],I$32))</f>
        <v>-541511.25753712899</v>
      </c>
      <c r="J34" s="242">
        <f>SUM(D34:I34)</f>
        <v>-3235266.8297998914</v>
      </c>
    </row>
    <row r="35" spans="2:10" ht="15" customHeight="1" x14ac:dyDescent="0.35">
      <c r="B35" s="243" t="s">
        <v>168</v>
      </c>
      <c r="C35" s="157" t="s">
        <v>1045</v>
      </c>
      <c r="D35" s="241">
        <f>-SUMIFS(tbl_pnl_monthly[services_cogs],tbl_pnl_monthly[month_label],D$32)</f>
        <v>-69945.524038347809</v>
      </c>
      <c r="E35" s="241">
        <f>-SUMIFS(tbl_pnl_monthly[services_cogs],tbl_pnl_monthly[month_label],E$32)</f>
        <v>-69747.203524923592</v>
      </c>
      <c r="F35" s="241">
        <f>-SUMIFS(tbl_pnl_monthly[services_cogs],tbl_pnl_monthly[month_label],F$32)</f>
        <v>-69549.511965959027</v>
      </c>
      <c r="G35" s="241">
        <f>-SUMIFS(tbl_pnl_monthly[services_cogs],tbl_pnl_monthly[month_label],G$32)</f>
        <v>-69352.447366785476</v>
      </c>
      <c r="H35" s="241">
        <f>-SUMIFS(tbl_pnl_monthly[services_cogs],tbl_pnl_monthly[month_label],H$32)</f>
        <v>-69156.00773906018</v>
      </c>
      <c r="I35" s="241">
        <f>-SUMIFS(tbl_pnl_monthly[services_cogs],tbl_pnl_monthly[month_label],I$32)</f>
        <v>-68960.191100746189</v>
      </c>
      <c r="J35" s="242">
        <f>SUM(D35:I35)</f>
        <v>-416710.88573582226</v>
      </c>
    </row>
    <row r="36" spans="2:10" ht="15" customHeight="1" x14ac:dyDescent="0.35">
      <c r="B36" s="240" t="s">
        <v>1046</v>
      </c>
      <c r="C36" s="231"/>
      <c r="D36" s="242">
        <f t="shared" ref="D36:I36" si="0">SUM(D33:D35)</f>
        <v>2203825.7627678555</v>
      </c>
      <c r="E36" s="242">
        <f t="shared" si="0"/>
        <v>2176556.2593719182</v>
      </c>
      <c r="F36" s="242">
        <f t="shared" si="0"/>
        <v>2206861.7733452343</v>
      </c>
      <c r="G36" s="242">
        <f t="shared" si="0"/>
        <v>2231379.8695968175</v>
      </c>
      <c r="H36" s="242">
        <f t="shared" si="0"/>
        <v>2299809.4563285662</v>
      </c>
      <c r="I36" s="242">
        <f t="shared" si="0"/>
        <v>2325225.3547052643</v>
      </c>
      <c r="J36" s="242">
        <f>SUM(D36:I36)</f>
        <v>13443658.476115657</v>
      </c>
    </row>
    <row r="37" spans="2:10" ht="15" customHeight="1" x14ac:dyDescent="0.35">
      <c r="B37" s="243" t="s">
        <v>1047</v>
      </c>
      <c r="C37" s="231"/>
      <c r="D37" s="244">
        <f t="shared" ref="D37:J37" si="1">IFERROR(D36/D33,0)</f>
        <v>0.79041404693522721</v>
      </c>
      <c r="E37" s="244">
        <f t="shared" si="1"/>
        <v>0.77925044342756977</v>
      </c>
      <c r="F37" s="244">
        <f t="shared" si="1"/>
        <v>0.78204551940896627</v>
      </c>
      <c r="G37" s="244">
        <f t="shared" si="1"/>
        <v>0.78434480118512462</v>
      </c>
      <c r="H37" s="244">
        <f t="shared" si="1"/>
        <v>0.78982377554601801</v>
      </c>
      <c r="I37" s="244">
        <f t="shared" si="1"/>
        <v>0.79205228280295259</v>
      </c>
      <c r="J37" s="245">
        <f t="shared" si="1"/>
        <v>0.78637953717574149</v>
      </c>
    </row>
    <row r="38" spans="2:10" ht="15" customHeight="1" x14ac:dyDescent="0.35">
      <c r="B38" s="243" t="s">
        <v>1048</v>
      </c>
      <c r="C38" s="157" t="s">
        <v>1049</v>
      </c>
      <c r="D38" s="241">
        <f>-SUMIFS(tbl_pnl_monthly[total_opex],tbl_pnl_monthly[month_label],D$32)</f>
        <v>-2606311.679390105</v>
      </c>
      <c r="E38" s="241">
        <f>-SUMIFS(tbl_pnl_monthly[total_opex],tbl_pnl_monthly[month_label],E$32)</f>
        <v>-2735743.3666530359</v>
      </c>
      <c r="F38" s="241">
        <f>-SUMIFS(tbl_pnl_monthly[total_opex],tbl_pnl_monthly[month_label],F$32)</f>
        <v>-2726411.7750576502</v>
      </c>
      <c r="G38" s="241">
        <f>-SUMIFS(tbl_pnl_monthly[total_opex],tbl_pnl_monthly[month_label],G$32)</f>
        <v>-2719666.2986977678</v>
      </c>
      <c r="H38" s="241">
        <f>-SUMIFS(tbl_pnl_monthly[total_opex],tbl_pnl_monthly[month_label],H$32)</f>
        <v>-2725446.5041738292</v>
      </c>
      <c r="I38" s="241">
        <f>-SUMIFS(tbl_pnl_monthly[total_opex],tbl_pnl_monthly[month_label],I$32)</f>
        <v>-2718735.5632745079</v>
      </c>
      <c r="J38" s="242">
        <f>SUM(D38:I38)</f>
        <v>-16232315.187246898</v>
      </c>
    </row>
    <row r="39" spans="2:10" ht="15" customHeight="1" x14ac:dyDescent="0.35">
      <c r="B39" s="240" t="s">
        <v>1050</v>
      </c>
      <c r="C39" s="231"/>
      <c r="D39" s="242">
        <f t="shared" ref="D39:I39" si="2">D36+D38</f>
        <v>-402485.91662224941</v>
      </c>
      <c r="E39" s="242">
        <f t="shared" si="2"/>
        <v>-559187.1072811177</v>
      </c>
      <c r="F39" s="242">
        <f t="shared" si="2"/>
        <v>-519550.00171241583</v>
      </c>
      <c r="G39" s="242">
        <f t="shared" si="2"/>
        <v>-488286.42910095025</v>
      </c>
      <c r="H39" s="242">
        <f t="shared" si="2"/>
        <v>-425637.04784526303</v>
      </c>
      <c r="I39" s="242">
        <f t="shared" si="2"/>
        <v>-393510.20856924355</v>
      </c>
      <c r="J39" s="242">
        <f>SUM(D39:I39)</f>
        <v>-2788656.7111312398</v>
      </c>
    </row>
    <row r="40" spans="2:10" ht="7" customHeight="1" x14ac:dyDescent="0.35"/>
    <row r="41" spans="2:10" x14ac:dyDescent="0.35">
      <c r="B41" s="134" t="s">
        <v>1051</v>
      </c>
    </row>
    <row r="43" spans="2:10" ht="18" customHeight="1" thickBot="1" x14ac:dyDescent="0.4">
      <c r="B43" s="135" t="s">
        <v>1052</v>
      </c>
      <c r="C43" s="136"/>
      <c r="D43" s="136"/>
      <c r="E43" s="136"/>
      <c r="F43" s="136"/>
      <c r="G43" s="136"/>
      <c r="H43" s="136"/>
      <c r="I43" s="136"/>
      <c r="J43" s="136"/>
    </row>
    <row r="44" spans="2:10" ht="30" customHeight="1" x14ac:dyDescent="0.35">
      <c r="B44" s="299" t="s">
        <v>1053</v>
      </c>
      <c r="C44" s="299"/>
      <c r="D44" s="299"/>
      <c r="E44" s="299"/>
      <c r="F44" s="299"/>
      <c r="G44" s="299"/>
      <c r="H44" s="299"/>
      <c r="I44" s="299"/>
      <c r="J44" s="299"/>
    </row>
    <row r="45" spans="2:10" ht="7" customHeight="1" x14ac:dyDescent="0.35"/>
    <row r="46" spans="2:10" ht="26" customHeight="1" x14ac:dyDescent="0.35">
      <c r="B46" s="139" t="s">
        <v>1054</v>
      </c>
      <c r="C46" s="160"/>
      <c r="D46" s="168" t="s">
        <v>59</v>
      </c>
      <c r="E46" s="168" t="s">
        <v>61</v>
      </c>
      <c r="F46" s="168" t="s">
        <v>63</v>
      </c>
      <c r="G46" s="168" t="s">
        <v>64</v>
      </c>
      <c r="H46" s="168" t="s">
        <v>65</v>
      </c>
      <c r="I46" s="168" t="s">
        <v>66</v>
      </c>
      <c r="J46" s="160" t="s">
        <v>370</v>
      </c>
    </row>
    <row r="47" spans="2:10" ht="15" customHeight="1" x14ac:dyDescent="0.35">
      <c r="B47" s="158" t="s">
        <v>1055</v>
      </c>
      <c r="D47" s="165">
        <f>_xlfn.XLOOKUP("Cash at 30 June 2026",Assumptions!$B$11:$B$37,Assumptions!$C$11:$C$37)</f>
        <v>21800000</v>
      </c>
      <c r="E47" s="165">
        <f>D52</f>
        <v>21332422.416221913</v>
      </c>
      <c r="F47" s="165">
        <f>E52</f>
        <v>20759471.162514821</v>
      </c>
      <c r="G47" s="165">
        <f>F52</f>
        <v>20230148.640372142</v>
      </c>
      <c r="H47" s="165">
        <f>G52</f>
        <v>19733373.458233412</v>
      </c>
      <c r="I47" s="165">
        <f>H52</f>
        <v>19263411.486578882</v>
      </c>
    </row>
    <row r="48" spans="2:10" ht="15" customHeight="1" x14ac:dyDescent="0.35">
      <c r="B48" s="169" t="s">
        <v>1056</v>
      </c>
      <c r="C48" s="157" t="s">
        <v>1057</v>
      </c>
      <c r="D48" s="165">
        <f>SUMIFS(tbl_cash_schedule[collections],tbl_cash_schedule[path],'Forecast Drivers'!$D$10,tbl_cash_schedule[month_label],D$46)</f>
        <v>2701986.5979122571</v>
      </c>
      <c r="E48" s="165">
        <f>SUMIFS(tbl_cash_schedule[collections],tbl_cash_schedule[path],'Forecast Drivers'!$D$10,tbl_cash_schedule[month_label],E$46)</f>
        <v>2758263.4408390238</v>
      </c>
      <c r="F48" s="165">
        <f>SUMIFS(tbl_cash_schedule[collections],tbl_cash_schedule[path],'Forecast Drivers'!$D$10,tbl_cash_schedule[month_label],F$46)</f>
        <v>2791023.8180956258</v>
      </c>
      <c r="G48" s="165">
        <f>SUMIFS(tbl_cash_schedule[collections],tbl_cash_schedule[path],'Forecast Drivers'!$D$10,tbl_cash_schedule[month_label],G$46)</f>
        <v>2815294.5815955563</v>
      </c>
      <c r="H48" s="165">
        <f>SUMIFS(tbl_cash_schedule[collections],tbl_cash_schedule[path],'Forecast Drivers'!$D$10,tbl_cash_schedule[month_label],H$46)</f>
        <v>2846362.5390066481</v>
      </c>
      <c r="I48" s="165">
        <f>SUMIFS(tbl_cash_schedule[collections],tbl_cash_schedule[path],'Forecast Drivers'!$D$10,tbl_cash_schedule[month_label],I$46)</f>
        <v>2890177.5878764926</v>
      </c>
      <c r="J48" s="167">
        <f>SUM(D48:I48)</f>
        <v>16803108.565325603</v>
      </c>
    </row>
    <row r="49" spans="2:10" ht="15" customHeight="1" x14ac:dyDescent="0.35">
      <c r="B49" s="169" t="s">
        <v>1058</v>
      </c>
      <c r="C49" s="157" t="s">
        <v>1059</v>
      </c>
      <c r="D49" s="165">
        <f>-SUMIFS(tbl_cash_schedule[cash_operating_outflows],tbl_cash_schedule[path],'Forecast Drivers'!$D$10,tbl_cash_schedule[month_label],D$46)</f>
        <v>-3169564.1816903432</v>
      </c>
      <c r="E49" s="165">
        <f>-SUMIFS(tbl_cash_schedule[cash_operating_outflows],tbl_cash_schedule[path],'Forecast Drivers'!$D$10,tbl_cash_schedule[month_label],E$46)</f>
        <v>-3331214.6945461179</v>
      </c>
      <c r="F49" s="165">
        <f>-SUMIFS(tbl_cash_schedule[cash_operating_outflows],tbl_cash_schedule[path],'Forecast Drivers'!$D$10,tbl_cash_schedule[month_label],F$46)</f>
        <v>-3320346.3402383025</v>
      </c>
      <c r="G49" s="165">
        <f>-SUMIFS(tbl_cash_schedule[cash_operating_outflows],tbl_cash_schedule[path],'Forecast Drivers'!$D$10,tbl_cash_schedule[month_label],G$46)</f>
        <v>-3312069.7637342857</v>
      </c>
      <c r="H49" s="165">
        <f>-SUMIFS(tbl_cash_schedule[cash_operating_outflows],tbl_cash_schedule[path],'Forecast Drivers'!$D$10,tbl_cash_schedule[month_label],H$46)</f>
        <v>-3316324.5106611787</v>
      </c>
      <c r="I49" s="165">
        <f>-SUMIFS(tbl_cash_schedule[cash_operating_outflows],tbl_cash_schedule[path],'Forecast Drivers'!$D$10,tbl_cash_schedule[month_label],I$46)</f>
        <v>-3308093.7319123843</v>
      </c>
      <c r="J49" s="167">
        <f>SUM(D49:I49)</f>
        <v>-19757613.222782612</v>
      </c>
    </row>
    <row r="50" spans="2:10" ht="15" customHeight="1" x14ac:dyDescent="0.35">
      <c r="B50" s="169" t="s">
        <v>1060</v>
      </c>
      <c r="C50" s="157" t="s">
        <v>1061</v>
      </c>
      <c r="D50" s="165">
        <f>-SUMIFS(tbl_cash_schedule[capex],tbl_cash_schedule[path],'Forecast Drivers'!$D$10,tbl_cash_schedule[month_label],D$46)</f>
        <v>0</v>
      </c>
      <c r="E50" s="165">
        <f>-SUMIFS(tbl_cash_schedule[capex],tbl_cash_schedule[path],'Forecast Drivers'!$D$10,tbl_cash_schedule[month_label],E$46)</f>
        <v>0</v>
      </c>
      <c r="F50" s="165">
        <f>-SUMIFS(tbl_cash_schedule[capex],tbl_cash_schedule[path],'Forecast Drivers'!$D$10,tbl_cash_schedule[month_label],F$46)</f>
        <v>0</v>
      </c>
      <c r="G50" s="165">
        <f>-SUMIFS(tbl_cash_schedule[capex],tbl_cash_schedule[path],'Forecast Drivers'!$D$10,tbl_cash_schedule[month_label],G$46)</f>
        <v>0</v>
      </c>
      <c r="H50" s="165">
        <f>-SUMIFS(tbl_cash_schedule[capex],tbl_cash_schedule[path],'Forecast Drivers'!$D$10,tbl_cash_schedule[month_label],H$46)</f>
        <v>0</v>
      </c>
      <c r="I50" s="165">
        <f>-SUMIFS(tbl_cash_schedule[capex],tbl_cash_schedule[path],'Forecast Drivers'!$D$10,tbl_cash_schedule[month_label],I$46)</f>
        <v>0</v>
      </c>
      <c r="J50" s="167">
        <f>SUM(D50:I50)</f>
        <v>0</v>
      </c>
    </row>
    <row r="51" spans="2:10" ht="15" customHeight="1" x14ac:dyDescent="0.35">
      <c r="B51" s="158" t="s">
        <v>1062</v>
      </c>
      <c r="D51" s="167">
        <f t="shared" ref="D51:I51" si="3">SUM(D48:D50)</f>
        <v>-467577.58377808612</v>
      </c>
      <c r="E51" s="167">
        <f t="shared" si="3"/>
        <v>-572951.25370709412</v>
      </c>
      <c r="F51" s="167">
        <f t="shared" si="3"/>
        <v>-529322.52214267664</v>
      </c>
      <c r="G51" s="167">
        <f t="shared" si="3"/>
        <v>-496775.18213872937</v>
      </c>
      <c r="H51" s="167">
        <f t="shared" si="3"/>
        <v>-469961.97165453061</v>
      </c>
      <c r="I51" s="167">
        <f t="shared" si="3"/>
        <v>-417916.14403589163</v>
      </c>
      <c r="J51" s="167">
        <f>SUM(D51:I51)</f>
        <v>-2954504.6574570085</v>
      </c>
    </row>
    <row r="52" spans="2:10" ht="15" customHeight="1" x14ac:dyDescent="0.35">
      <c r="B52" s="158" t="s">
        <v>1063</v>
      </c>
      <c r="D52" s="167">
        <f t="shared" ref="D52:I52" si="4">D47+D51</f>
        <v>21332422.416221913</v>
      </c>
      <c r="E52" s="167">
        <f t="shared" si="4"/>
        <v>20759471.162514821</v>
      </c>
      <c r="F52" s="167">
        <f t="shared" si="4"/>
        <v>20230148.640372142</v>
      </c>
      <c r="G52" s="167">
        <f t="shared" si="4"/>
        <v>19733373.458233412</v>
      </c>
      <c r="H52" s="167">
        <f t="shared" si="4"/>
        <v>19263411.486578882</v>
      </c>
      <c r="I52" s="167">
        <f t="shared" si="4"/>
        <v>18845495.342542991</v>
      </c>
    </row>
    <row r="53" spans="2:10" ht="7" customHeight="1" x14ac:dyDescent="0.35"/>
    <row r="54" spans="2:10" x14ac:dyDescent="0.35">
      <c r="B54" s="134" t="s">
        <v>1064</v>
      </c>
    </row>
    <row r="55" spans="2:10" ht="18" customHeight="1" thickBot="1" x14ac:dyDescent="0.4">
      <c r="B55" s="135" t="s">
        <v>1065</v>
      </c>
      <c r="C55" s="136"/>
      <c r="D55" s="136"/>
      <c r="E55" s="136"/>
      <c r="F55" s="136"/>
      <c r="G55" s="136"/>
      <c r="H55" s="136"/>
      <c r="I55" s="136"/>
      <c r="J55" s="136"/>
    </row>
    <row r="56" spans="2:10" ht="30" customHeight="1" x14ac:dyDescent="0.35">
      <c r="B56" s="299" t="s">
        <v>1066</v>
      </c>
      <c r="C56" s="299"/>
      <c r="D56" s="299"/>
      <c r="E56" s="299"/>
      <c r="F56" s="299"/>
      <c r="G56" s="299"/>
      <c r="H56" s="299"/>
      <c r="I56" s="299"/>
      <c r="J56" s="299"/>
    </row>
    <row r="57" spans="2:10" ht="15" customHeight="1" x14ac:dyDescent="0.35">
      <c r="B57" s="172"/>
      <c r="C57" s="172"/>
      <c r="D57" s="172"/>
      <c r="E57" s="172"/>
      <c r="F57" s="172"/>
      <c r="G57" s="172"/>
      <c r="H57" s="172"/>
      <c r="I57" s="172"/>
      <c r="J57" s="172"/>
    </row>
    <row r="58" spans="2:10" ht="15" customHeight="1" x14ac:dyDescent="0.35">
      <c r="B58" s="172"/>
      <c r="C58" s="172"/>
      <c r="D58" s="172"/>
      <c r="E58" s="172"/>
      <c r="F58" s="172"/>
      <c r="G58" s="172"/>
      <c r="H58" s="172"/>
      <c r="I58" s="172"/>
      <c r="J58" s="172"/>
    </row>
    <row r="59" spans="2:10" ht="15" customHeight="1" x14ac:dyDescent="0.35">
      <c r="B59" s="172"/>
      <c r="C59" s="172"/>
      <c r="D59" s="172"/>
      <c r="E59" s="172"/>
      <c r="F59" s="172"/>
      <c r="G59" s="172"/>
      <c r="H59" s="172"/>
      <c r="I59" s="172"/>
      <c r="J59" s="172"/>
    </row>
    <row r="60" spans="2:10" ht="15" customHeight="1" x14ac:dyDescent="0.35">
      <c r="B60" s="172"/>
      <c r="C60" s="172"/>
      <c r="D60" s="172"/>
      <c r="E60" s="172"/>
      <c r="F60" s="172"/>
      <c r="G60" s="172"/>
      <c r="H60" s="172"/>
      <c r="I60" s="172"/>
      <c r="J60" s="172"/>
    </row>
    <row r="61" spans="2:10" ht="15" customHeight="1" x14ac:dyDescent="0.35">
      <c r="B61" s="172"/>
      <c r="C61" s="172"/>
      <c r="D61" s="172"/>
      <c r="E61" s="172"/>
      <c r="F61" s="172"/>
      <c r="G61" s="172"/>
      <c r="H61" s="172"/>
      <c r="I61" s="172"/>
      <c r="J61" s="172"/>
    </row>
    <row r="62" spans="2:10" ht="15" customHeight="1" x14ac:dyDescent="0.35">
      <c r="B62" s="172"/>
      <c r="C62" s="172"/>
      <c r="D62" s="172"/>
      <c r="E62" s="172"/>
      <c r="F62" s="172"/>
      <c r="G62" s="172"/>
      <c r="H62" s="172"/>
      <c r="I62" s="172"/>
      <c r="J62" s="172"/>
    </row>
    <row r="63" spans="2:10" ht="15" customHeight="1" x14ac:dyDescent="0.35">
      <c r="B63" s="172"/>
      <c r="C63" s="172"/>
      <c r="D63" s="172"/>
      <c r="E63" s="172"/>
      <c r="F63" s="172"/>
      <c r="G63" s="172"/>
      <c r="H63" s="172"/>
      <c r="I63" s="172"/>
      <c r="J63" s="172"/>
    </row>
    <row r="64" spans="2:10" ht="15" customHeight="1" x14ac:dyDescent="0.35">
      <c r="B64" s="172"/>
      <c r="C64" s="172"/>
      <c r="D64" s="172"/>
      <c r="E64" s="172"/>
      <c r="F64" s="172"/>
      <c r="G64" s="172"/>
      <c r="H64" s="172"/>
      <c r="I64" s="172"/>
      <c r="J64" s="172"/>
    </row>
    <row r="65" spans="2:10" ht="15" customHeight="1" x14ac:dyDescent="0.35">
      <c r="B65" s="172"/>
      <c r="C65" s="172"/>
      <c r="D65" s="172"/>
      <c r="E65" s="172"/>
      <c r="F65" s="172"/>
      <c r="G65" s="172"/>
      <c r="H65" s="172"/>
      <c r="I65" s="172"/>
      <c r="J65" s="172"/>
    </row>
    <row r="66" spans="2:10" ht="15" customHeight="1" x14ac:dyDescent="0.35">
      <c r="B66" s="172"/>
      <c r="C66" s="172"/>
      <c r="D66" s="172"/>
      <c r="E66" s="172"/>
      <c r="F66" s="172"/>
      <c r="G66" s="172"/>
      <c r="H66" s="172"/>
      <c r="I66" s="172"/>
      <c r="J66" s="172"/>
    </row>
    <row r="67" spans="2:10" ht="15" customHeight="1" x14ac:dyDescent="0.35">
      <c r="B67" s="172"/>
      <c r="C67" s="172"/>
      <c r="D67" s="172"/>
      <c r="E67" s="172"/>
      <c r="F67" s="172"/>
      <c r="G67" s="172"/>
      <c r="H67" s="172"/>
      <c r="I67" s="172"/>
      <c r="J67" s="172"/>
    </row>
    <row r="68" spans="2:10" ht="15" customHeight="1" x14ac:dyDescent="0.35">
      <c r="B68" s="172"/>
      <c r="C68" s="172"/>
      <c r="D68" s="172"/>
      <c r="E68" s="172"/>
      <c r="F68" s="172"/>
      <c r="G68" s="172"/>
      <c r="H68" s="172"/>
      <c r="I68" s="172"/>
      <c r="J68" s="172"/>
    </row>
    <row r="69" spans="2:10" ht="15" customHeight="1" x14ac:dyDescent="0.35">
      <c r="B69" s="172"/>
      <c r="C69" s="172"/>
      <c r="D69" s="172"/>
      <c r="E69" s="172"/>
      <c r="F69" s="172"/>
      <c r="G69" s="172"/>
      <c r="H69" s="172"/>
      <c r="I69" s="172"/>
      <c r="J69" s="172"/>
    </row>
    <row r="70" spans="2:10" ht="15" customHeight="1" x14ac:dyDescent="0.35">
      <c r="B70" s="172"/>
      <c r="C70" s="172"/>
      <c r="D70" s="172"/>
      <c r="E70" s="172"/>
      <c r="F70" s="172"/>
      <c r="G70" s="172"/>
      <c r="H70" s="172"/>
      <c r="I70" s="172"/>
      <c r="J70" s="172"/>
    </row>
    <row r="71" spans="2:10" ht="7" customHeight="1" x14ac:dyDescent="0.35">
      <c r="B71" s="172"/>
      <c r="C71" s="172"/>
      <c r="D71" s="172"/>
      <c r="E71" s="172"/>
      <c r="F71" s="172"/>
      <c r="G71" s="172"/>
      <c r="H71" s="172"/>
      <c r="I71" s="172"/>
      <c r="J71" s="172"/>
    </row>
    <row r="72" spans="2:10" ht="7" customHeight="1" x14ac:dyDescent="0.35"/>
    <row r="73" spans="2:10" ht="26" customHeight="1" x14ac:dyDescent="0.35">
      <c r="B73" s="237" t="s">
        <v>1067</v>
      </c>
      <c r="C73" s="238"/>
      <c r="D73" s="239" t="s">
        <v>59</v>
      </c>
      <c r="E73" s="239" t="s">
        <v>61</v>
      </c>
      <c r="F73" s="239" t="s">
        <v>63</v>
      </c>
      <c r="G73" s="239" t="s">
        <v>64</v>
      </c>
      <c r="H73" s="239" t="s">
        <v>65</v>
      </c>
      <c r="I73" s="239" t="s">
        <v>66</v>
      </c>
      <c r="J73" s="238" t="s">
        <v>370</v>
      </c>
    </row>
    <row r="74" spans="2:10" ht="15" customHeight="1" x14ac:dyDescent="0.35">
      <c r="B74" s="240" t="s">
        <v>1050</v>
      </c>
      <c r="C74" s="231"/>
      <c r="D74" s="241">
        <f t="shared" ref="D74:I74" si="5">D39</f>
        <v>-402485.91662224941</v>
      </c>
      <c r="E74" s="241">
        <f t="shared" si="5"/>
        <v>-559187.1072811177</v>
      </c>
      <c r="F74" s="241">
        <f t="shared" si="5"/>
        <v>-519550.00171241583</v>
      </c>
      <c r="G74" s="241">
        <f t="shared" si="5"/>
        <v>-488286.42910095025</v>
      </c>
      <c r="H74" s="241">
        <f t="shared" si="5"/>
        <v>-425637.04784526303</v>
      </c>
      <c r="I74" s="241">
        <f t="shared" si="5"/>
        <v>-393510.20856924355</v>
      </c>
      <c r="J74" s="242">
        <f>SUM(D74:I74)</f>
        <v>-2788656.7111312398</v>
      </c>
    </row>
    <row r="75" spans="2:10" ht="15" customHeight="1" x14ac:dyDescent="0.35">
      <c r="B75" s="243" t="s">
        <v>1068</v>
      </c>
      <c r="C75" s="157" t="s">
        <v>1069</v>
      </c>
      <c r="D75" s="241">
        <f t="shared" ref="D75:I75" si="6">D48-D33</f>
        <v>-86204.947155836038</v>
      </c>
      <c r="E75" s="241">
        <f t="shared" si="6"/>
        <v>-34877.426425976213</v>
      </c>
      <c r="F75" s="241">
        <f t="shared" si="6"/>
        <v>-30885.800430260133</v>
      </c>
      <c r="G75" s="241">
        <f t="shared" si="6"/>
        <v>-29602.033037778921</v>
      </c>
      <c r="H75" s="241">
        <f t="shared" si="6"/>
        <v>-65438.203809267376</v>
      </c>
      <c r="I75" s="241">
        <f t="shared" si="6"/>
        <v>-45519.215466646943</v>
      </c>
      <c r="J75" s="242">
        <f>SUM(D75:I75)</f>
        <v>-292527.62632576562</v>
      </c>
    </row>
    <row r="76" spans="2:10" ht="15" customHeight="1" x14ac:dyDescent="0.35">
      <c r="B76" s="243" t="s">
        <v>1070</v>
      </c>
      <c r="C76" s="157" t="s">
        <v>1071</v>
      </c>
      <c r="D76" s="241">
        <f t="shared" ref="D76:I76" si="7">D49-(D34+D35+D38)</f>
        <v>21113.279999999329</v>
      </c>
      <c r="E76" s="241">
        <f t="shared" si="7"/>
        <v>21113.279999999795</v>
      </c>
      <c r="F76" s="241">
        <f t="shared" si="7"/>
        <v>21113.279999999329</v>
      </c>
      <c r="G76" s="241">
        <f t="shared" si="7"/>
        <v>21113.280000000261</v>
      </c>
      <c r="H76" s="241">
        <f t="shared" si="7"/>
        <v>21113.279999999795</v>
      </c>
      <c r="I76" s="241">
        <f t="shared" si="7"/>
        <v>21113.279999998864</v>
      </c>
      <c r="J76" s="242">
        <f>SUM(D76:I76)</f>
        <v>126679.67999999737</v>
      </c>
    </row>
    <row r="77" spans="2:10" ht="15" customHeight="1" x14ac:dyDescent="0.35">
      <c r="B77" s="243" t="s">
        <v>1060</v>
      </c>
      <c r="C77" s="231"/>
      <c r="D77" s="241">
        <f t="shared" ref="D77:I77" si="8">D50</f>
        <v>0</v>
      </c>
      <c r="E77" s="241">
        <f t="shared" si="8"/>
        <v>0</v>
      </c>
      <c r="F77" s="241">
        <f t="shared" si="8"/>
        <v>0</v>
      </c>
      <c r="G77" s="241">
        <f t="shared" si="8"/>
        <v>0</v>
      </c>
      <c r="H77" s="241">
        <f t="shared" si="8"/>
        <v>0</v>
      </c>
      <c r="I77" s="241">
        <f t="shared" si="8"/>
        <v>0</v>
      </c>
      <c r="J77" s="242">
        <f>SUM(D77:I77)</f>
        <v>0</v>
      </c>
    </row>
    <row r="78" spans="2:10" ht="15" customHeight="1" x14ac:dyDescent="0.35">
      <c r="B78" s="240" t="s">
        <v>1062</v>
      </c>
      <c r="C78" s="231"/>
      <c r="D78" s="242">
        <f t="shared" ref="D78:I78" si="9">SUM(D74:D77)</f>
        <v>-467577.58377808612</v>
      </c>
      <c r="E78" s="242">
        <f t="shared" si="9"/>
        <v>-572951.25370709412</v>
      </c>
      <c r="F78" s="242">
        <f t="shared" si="9"/>
        <v>-529322.52214267664</v>
      </c>
      <c r="G78" s="242">
        <f t="shared" si="9"/>
        <v>-496775.18213872891</v>
      </c>
      <c r="H78" s="242">
        <f t="shared" si="9"/>
        <v>-469961.97165453061</v>
      </c>
      <c r="I78" s="242">
        <f t="shared" si="9"/>
        <v>-417916.14403589163</v>
      </c>
      <c r="J78" s="242">
        <f>SUM(D78:I78)</f>
        <v>-2954504.657457008</v>
      </c>
    </row>
    <row r="79" spans="2:10" ht="7" customHeight="1" x14ac:dyDescent="0.35"/>
    <row r="81" spans="2:10" ht="18" customHeight="1" thickBot="1" x14ac:dyDescent="0.4">
      <c r="B81" s="135" t="s">
        <v>1072</v>
      </c>
      <c r="C81" s="136"/>
      <c r="D81" s="136"/>
      <c r="E81" s="136"/>
      <c r="F81" s="136"/>
      <c r="G81" s="136"/>
      <c r="H81" s="136"/>
      <c r="I81" s="136"/>
      <c r="J81" s="136"/>
    </row>
    <row r="82" spans="2:10" ht="17" customHeight="1" x14ac:dyDescent="0.35">
      <c r="B82" s="299" t="s">
        <v>1073</v>
      </c>
      <c r="C82" s="299"/>
      <c r="D82" s="299"/>
      <c r="E82" s="299"/>
      <c r="F82" s="299"/>
      <c r="G82" s="299"/>
      <c r="H82" s="299"/>
      <c r="I82" s="299"/>
      <c r="J82" s="299"/>
    </row>
    <row r="83" spans="2:10" ht="7" customHeight="1" x14ac:dyDescent="0.35"/>
    <row r="84" spans="2:10" ht="26" customHeight="1" x14ac:dyDescent="0.35">
      <c r="B84" s="139" t="s">
        <v>896</v>
      </c>
      <c r="C84" s="139" t="s">
        <v>1074</v>
      </c>
      <c r="D84" s="160" t="s">
        <v>22</v>
      </c>
      <c r="E84" s="160" t="s">
        <v>1075</v>
      </c>
      <c r="F84" s="160" t="s">
        <v>324</v>
      </c>
      <c r="G84" s="160" t="s">
        <v>325</v>
      </c>
    </row>
    <row r="85" spans="2:10" ht="15" customHeight="1" x14ac:dyDescent="0.35">
      <c r="B85" s="158" t="s">
        <v>285</v>
      </c>
      <c r="C85" s="157" t="s">
        <v>1076</v>
      </c>
      <c r="D85" s="176">
        <f>_xlfn.XLOOKUP('Forecast Drivers'!$D$10,tbl_runway_policy[path],tbl_runway_policy[policy_runway_months])</f>
        <v>25.647058823529409</v>
      </c>
      <c r="E85" s="176">
        <f>_xlfn.XLOOKUP('Forecast Drivers'!$D$10,tbl_runway_policy[path],tbl_runway_policy[board_runway_floor_months])</f>
        <v>24</v>
      </c>
      <c r="F85" s="177">
        <f>D85-E85</f>
        <v>1.6470588235294095</v>
      </c>
      <c r="G85" s="174" t="str">
        <f>IF(F85&lt;0,"FAIL","PASS")</f>
        <v>PASS</v>
      </c>
    </row>
    <row r="86" spans="2:10" ht="15" customHeight="1" x14ac:dyDescent="0.35">
      <c r="B86" s="158" t="s">
        <v>1077</v>
      </c>
      <c r="C86" s="157" t="s">
        <v>1106</v>
      </c>
      <c r="D86" s="176">
        <f>IFERROR(I52/MAX(-J51/6,1),0)</f>
        <v>38.271380540852398</v>
      </c>
      <c r="E86" s="176"/>
      <c r="F86" s="177"/>
      <c r="G86" s="174"/>
    </row>
    <row r="87" spans="2:10" ht="15" customHeight="1" x14ac:dyDescent="0.35">
      <c r="B87" s="158" t="s">
        <v>1078</v>
      </c>
      <c r="C87" s="157" t="s">
        <v>1079</v>
      </c>
      <c r="D87" s="167">
        <f>I52</f>
        <v>18845495.342542991</v>
      </c>
    </row>
    <row r="88" spans="2:10" ht="57.65" customHeight="1" x14ac:dyDescent="0.35">
      <c r="B88" s="181" t="s">
        <v>1104</v>
      </c>
    </row>
    <row r="90" spans="2:10" ht="18" customHeight="1" thickBot="1" x14ac:dyDescent="0.4">
      <c r="B90" s="135" t="s">
        <v>1080</v>
      </c>
      <c r="C90" s="136"/>
      <c r="D90" s="136"/>
      <c r="E90" s="136"/>
      <c r="F90" s="136"/>
      <c r="G90" s="136"/>
      <c r="H90" s="136"/>
      <c r="I90" s="136"/>
      <c r="J90" s="136"/>
    </row>
    <row r="91" spans="2:10" ht="7" customHeight="1" x14ac:dyDescent="0.35"/>
    <row r="92" spans="2:10" ht="26" customHeight="1" x14ac:dyDescent="0.35">
      <c r="B92" s="139" t="s">
        <v>494</v>
      </c>
      <c r="C92" s="139" t="s">
        <v>1031</v>
      </c>
      <c r="D92" s="160" t="s">
        <v>356</v>
      </c>
      <c r="E92" s="160" t="s">
        <v>498</v>
      </c>
    </row>
    <row r="93" spans="2:10" ht="28.15" customHeight="1" x14ac:dyDescent="0.35">
      <c r="B93" s="161" t="s">
        <v>1081</v>
      </c>
      <c r="C93" s="172" t="s">
        <v>1082</v>
      </c>
      <c r="D93" s="173">
        <f>ROUND((D47+D51-D52)+(E47+E51-E52)+(F47+F51-F52)+(G47+G51-G52)+(H47+H51-H52)+(I47+I51-I52),2)</f>
        <v>0</v>
      </c>
      <c r="E93" s="174" t="str">
        <f>IF(ABS(D93)&lt;0.01,"PASS","FAIL")</f>
        <v>PASS</v>
      </c>
    </row>
    <row r="94" spans="2:10" ht="28.15" customHeight="1" x14ac:dyDescent="0.35">
      <c r="B94" s="161" t="s">
        <v>1083</v>
      </c>
      <c r="C94" s="172" t="s">
        <v>1084</v>
      </c>
      <c r="D94" s="173">
        <f>ROUND((E47-D52)+(F47-E52)+(G47-F52)+(H47-G52)+(I47-H52),2)</f>
        <v>0</v>
      </c>
      <c r="E94" s="174" t="str">
        <f>IF(ABS(D94)&lt;0.01,"PASS","FAIL")</f>
        <v>PASS</v>
      </c>
    </row>
    <row r="95" spans="2:10" ht="28.15" customHeight="1" x14ac:dyDescent="0.35">
      <c r="B95" s="161" t="s">
        <v>1085</v>
      </c>
      <c r="C95" s="172" t="s">
        <v>1086</v>
      </c>
      <c r="D95" s="173">
        <f>ROUND(SUM(D78:I78)-SUM(D51:I51),2)</f>
        <v>0</v>
      </c>
      <c r="E95" s="174" t="str">
        <f>IF(ABS(D95)&lt;0.01,"PASS","FAIL")</f>
        <v>PASS</v>
      </c>
    </row>
    <row r="96" spans="2:10" ht="28.15" customHeight="1" x14ac:dyDescent="0.35">
      <c r="B96" s="161" t="s">
        <v>1087</v>
      </c>
      <c r="C96" s="172" t="s">
        <v>1088</v>
      </c>
      <c r="D96" s="173">
        <f>IF('Forecast Drivers'!$D$10&lt;&gt;"Base",0,ROUND(I52-_xlfn.XLOOKUP("Base",tbl_scenario_summary[scenario],tbl_scenario_summary[dec_2026_cash]),2))</f>
        <v>0</v>
      </c>
      <c r="E96" s="174" t="str">
        <f>IF(ABS(D96)&lt;0.01,"PASS","FAIL")</f>
        <v>PASS</v>
      </c>
    </row>
  </sheetData>
  <mergeCells count="14">
    <mergeCell ref="B30:J30"/>
    <mergeCell ref="B44:J44"/>
    <mergeCell ref="B56:J56"/>
    <mergeCell ref="B82:J82"/>
    <mergeCell ref="B7:J7"/>
    <mergeCell ref="B25:D25"/>
    <mergeCell ref="B26:D26"/>
    <mergeCell ref="B27:D27"/>
    <mergeCell ref="E25:G25"/>
    <mergeCell ref="E26:G26"/>
    <mergeCell ref="E27:G27"/>
    <mergeCell ref="H25:J25"/>
    <mergeCell ref="H26:J26"/>
    <mergeCell ref="H27:J27"/>
  </mergeCells>
  <conditionalFormatting sqref="B26">
    <cfRule type="expression" dxfId="30" priority="5">
      <formula>$F$85&lt;0</formula>
    </cfRule>
    <cfRule type="expression" dxfId="29" priority="6">
      <formula>$F$85&gt;=0</formula>
    </cfRule>
  </conditionalFormatting>
  <conditionalFormatting sqref="E93:E96">
    <cfRule type="cellIs" dxfId="28" priority="3" operator="equal">
      <formula>"PASS"</formula>
    </cfRule>
    <cfRule type="cellIs" dxfId="27" priority="4" operator="equal">
      <formula>"FAIL"</formula>
    </cfRule>
  </conditionalFormatting>
  <conditionalFormatting sqref="G85:G86">
    <cfRule type="cellIs" dxfId="26" priority="1" operator="equal">
      <formula>"PASS"</formula>
    </cfRule>
    <cfRule type="cellIs" dxfId="25" priority="2" operator="equal">
      <formula>"FAIL"</formula>
    </cfRule>
  </conditionalFormatting>
  <hyperlinks>
    <hyperlink ref="J1" location="'Model Guide'!A1" display="← Model Guide" xr:uid="{5A948FAD-5496-4AAA-98C8-1227AD6347AC}"/>
  </hyperlinks>
  <pageMargins left="0.7" right="0.7" top="0.75" bottom="0.75" header="0.3" footer="0.3"/>
  <pageSetup scale="74" fitToHeight="0" orientation="landscape" r:id="rId1"/>
  <ignoredErrors>
    <ignoredError sqref="J37"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5E8C"/>
    <pageSetUpPr fitToPage="1"/>
  </sheetPr>
  <dimension ref="B1:Y204"/>
  <sheetViews>
    <sheetView showGridLines="0" zoomScale="90" zoomScaleNormal="9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44.6328125" customWidth="1"/>
    <col min="3" max="3" width="26.6328125" customWidth="1"/>
    <col min="4" max="4" width="20.6328125" customWidth="1"/>
    <col min="5" max="6" width="16.6328125" customWidth="1"/>
    <col min="7" max="7" width="14.6328125" customWidth="1"/>
    <col min="8" max="8" width="16.6328125" customWidth="1"/>
    <col min="9" max="14" width="10.453125" customWidth="1"/>
  </cols>
  <sheetData>
    <row r="1" spans="2:25" ht="24" customHeight="1" x14ac:dyDescent="0.35">
      <c r="B1" s="37" t="s">
        <v>0</v>
      </c>
      <c r="H1" s="147" t="s">
        <v>939</v>
      </c>
    </row>
    <row r="2" spans="2:25" ht="15" customHeight="1" x14ac:dyDescent="0.35">
      <c r="B2" s="38" t="s">
        <v>205</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0"/>
      <c r="I5" s="46"/>
      <c r="J5" s="46"/>
      <c r="K5" s="46"/>
      <c r="L5" s="46"/>
      <c r="M5" s="46"/>
      <c r="N5" s="46"/>
      <c r="O5" s="46"/>
      <c r="P5" s="46"/>
      <c r="Q5" s="46"/>
      <c r="R5" s="46"/>
      <c r="S5" s="46"/>
      <c r="T5" s="46"/>
      <c r="U5" s="46"/>
      <c r="V5" s="46"/>
      <c r="W5" s="46"/>
      <c r="X5" s="46"/>
      <c r="Y5" s="46"/>
    </row>
    <row r="6" spans="2:25" ht="7" customHeight="1" x14ac:dyDescent="0.35"/>
    <row r="7" spans="2:25" ht="30" customHeight="1" x14ac:dyDescent="0.35">
      <c r="B7" s="298" t="s">
        <v>206</v>
      </c>
      <c r="C7" s="298"/>
      <c r="D7" s="298"/>
      <c r="E7" s="298"/>
      <c r="F7" s="298"/>
      <c r="G7" s="298"/>
      <c r="H7" s="298"/>
    </row>
    <row r="8" spans="2:25" ht="15" customHeight="1" x14ac:dyDescent="0.35"/>
    <row r="9" spans="2:25" ht="18" customHeight="1" thickBot="1" x14ac:dyDescent="0.4">
      <c r="B9" s="21" t="s">
        <v>1122</v>
      </c>
      <c r="C9" s="41"/>
      <c r="D9" s="41"/>
      <c r="E9" s="41"/>
      <c r="F9" s="41"/>
      <c r="G9" s="41"/>
      <c r="H9" s="41"/>
    </row>
    <row r="10" spans="2:25" ht="17" customHeight="1" x14ac:dyDescent="0.35">
      <c r="B10" s="296" t="s">
        <v>1133</v>
      </c>
      <c r="C10" s="296"/>
      <c r="D10" s="296"/>
      <c r="E10" s="296"/>
      <c r="F10" s="296"/>
      <c r="G10" s="296"/>
      <c r="H10" s="296"/>
    </row>
    <row r="11" spans="2:25" ht="7" customHeight="1" x14ac:dyDescent="0.35"/>
    <row r="12" spans="2:25" ht="26" customHeight="1" x14ac:dyDescent="0.35">
      <c r="B12" s="20" t="s">
        <v>7</v>
      </c>
      <c r="C12" s="42"/>
      <c r="D12" s="42" t="s">
        <v>8</v>
      </c>
      <c r="E12" s="42" t="s">
        <v>6</v>
      </c>
      <c r="F12" s="42" t="s">
        <v>9</v>
      </c>
      <c r="G12" s="42" t="s">
        <v>10</v>
      </c>
      <c r="H12" s="42" t="s">
        <v>11</v>
      </c>
    </row>
    <row r="13" spans="2:25" ht="15" customHeight="1" x14ac:dyDescent="0.35">
      <c r="B13" s="18" t="s">
        <v>12</v>
      </c>
      <c r="D13" s="23">
        <f>_xlfn.XLOOKUP("Exit ARR",tbl_mgmt_variance[metric_label],tbl_mgmt_variance[budget_amount])</f>
        <v>37589315.840000004</v>
      </c>
      <c r="E13" s="24">
        <f>_xlfn.XLOOKUP("Exit ARR",tbl_mgmt_variance[metric_label],tbl_mgmt_variance[base_amount])</f>
        <v>34816416.564797662</v>
      </c>
      <c r="F13" s="25">
        <f>E13-D13</f>
        <v>-2772899.2752023414</v>
      </c>
      <c r="G13" s="26">
        <f>IF(D13&lt;=0,"n/m",E13/D13-1)</f>
        <v>-7.3768282641941796E-2</v>
      </c>
      <c r="H13" s="27" t="str">
        <f>_xlfn.XLOOKUP("Exit ARR",tbl_mgmt_variance[metric_label],tbl_mgmt_variance[favorable_unfavorable])</f>
        <v>Unfavorable</v>
      </c>
    </row>
    <row r="14" spans="2:25" ht="15" customHeight="1" x14ac:dyDescent="0.35">
      <c r="B14" s="18" t="s">
        <v>13</v>
      </c>
      <c r="D14" s="23">
        <f>_xlfn.XLOOKUP("New Logo ARR",tbl_mgmt_variance[metric_label],tbl_mgmt_variance[budget_amount])</f>
        <v>6000000</v>
      </c>
      <c r="E14" s="24">
        <f>_xlfn.XLOOKUP("New Logo ARR",tbl_mgmt_variance[metric_label],tbl_mgmt_variance[base_amount])</f>
        <v>3206313.5135644479</v>
      </c>
      <c r="F14" s="25">
        <f>E14-D14</f>
        <v>-2793686.4864355521</v>
      </c>
      <c r="G14" s="26">
        <f>IF(D14&lt;=0,"n/m",E14/D14-1)</f>
        <v>-0.46561441440592533</v>
      </c>
      <c r="H14" s="27" t="str">
        <f>_xlfn.XLOOKUP("New Logo ARR",tbl_mgmt_variance[metric_label],tbl_mgmt_variance[favorable_unfavorable])</f>
        <v>Unfavorable</v>
      </c>
    </row>
    <row r="15" spans="2:25" ht="15" customHeight="1" x14ac:dyDescent="0.35">
      <c r="B15" s="18" t="s">
        <v>14</v>
      </c>
      <c r="D15" s="23">
        <f>_xlfn.XLOOKUP("Revenue",tbl_mgmt_variance[metric_label],tbl_mgmt_variance[budget_amount])</f>
        <v>33632627.259999998</v>
      </c>
      <c r="E15" s="24">
        <f>_xlfn.XLOOKUP("Revenue",tbl_mgmt_variance[metric_label],tbl_mgmt_variance[base_amount])</f>
        <v>32790970.25165138</v>
      </c>
      <c r="F15" s="25">
        <f>E15-D15</f>
        <v>-841657.0083486177</v>
      </c>
      <c r="G15" s="26">
        <f>IF(D15&lt;=0,"n/m",E15/D15-1)</f>
        <v>-2.5025015198548495E-2</v>
      </c>
      <c r="H15" s="27" t="str">
        <f>_xlfn.XLOOKUP("Revenue",tbl_mgmt_variance[metric_label],tbl_mgmt_variance[favorable_unfavorable])</f>
        <v>Unfavorable</v>
      </c>
    </row>
    <row r="16" spans="2:25" ht="15" customHeight="1" x14ac:dyDescent="0.35">
      <c r="B16" s="18" t="s">
        <v>15</v>
      </c>
      <c r="D16" s="23">
        <f>_xlfn.XLOOKUP("Gross Profit",tbl_mgmt_variance[metric_label],tbl_mgmt_variance[budget_amount])</f>
        <v>24911442.949999999</v>
      </c>
      <c r="E16" s="24">
        <f>_xlfn.XLOOKUP("Gross Profit",tbl_mgmt_variance[metric_label],tbl_mgmt_variance[base_amount])</f>
        <v>25694771.976115659</v>
      </c>
      <c r="F16" s="25">
        <f>E16-D16</f>
        <v>783329.02611565962</v>
      </c>
      <c r="G16" s="26">
        <f>IF(D16&lt;=0,"n/m",E16/D16-1)</f>
        <v>3.1444546495676073E-2</v>
      </c>
      <c r="H16" s="27" t="str">
        <f>_xlfn.XLOOKUP("Gross Profit",tbl_mgmt_variance[metric_label],tbl_mgmt_variance[favorable_unfavorable])</f>
        <v>Favorable</v>
      </c>
    </row>
    <row r="17" spans="2:8" ht="15" customHeight="1" x14ac:dyDescent="0.35">
      <c r="B17" s="18" t="s">
        <v>16</v>
      </c>
      <c r="D17" s="28">
        <f>_xlfn.XLOOKUP("Gross Margin",tbl_mgmt_variance[metric_label],tbl_mgmt_variance[budget_amount])/10000</f>
        <v>0.74069274331201918</v>
      </c>
      <c r="E17" s="28">
        <f>_xlfn.XLOOKUP("Gross Margin",tbl_mgmt_variance[metric_label],tbl_mgmt_variance[base_amount])/10000</f>
        <v>0.78359291533380759</v>
      </c>
      <c r="F17" s="29">
        <f>(E17-D17)*10000</f>
        <v>429.00172021788421</v>
      </c>
      <c r="G17" s="43" t="s">
        <v>17</v>
      </c>
      <c r="H17" s="27" t="str">
        <f>_xlfn.XLOOKUP("Gross Margin",tbl_mgmt_variance[metric_label],tbl_mgmt_variance[favorable_unfavorable])</f>
        <v>Favorable</v>
      </c>
    </row>
    <row r="18" spans="2:8" ht="15" customHeight="1" x14ac:dyDescent="0.35">
      <c r="B18" s="18" t="s">
        <v>18</v>
      </c>
      <c r="D18" s="23">
        <f>_xlfn.XLOOKUP("Total OpEx",tbl_mgmt_variance[metric_label],tbl_mgmt_variance[budget_amount])</f>
        <v>30536909.829999998</v>
      </c>
      <c r="E18" s="24">
        <f>_xlfn.XLOOKUP("Total OpEx",tbl_mgmt_variance[metric_label],tbl_mgmt_variance[base_amount])</f>
        <v>31408461.147246901</v>
      </c>
      <c r="F18" s="25">
        <f>E18-D18</f>
        <v>871551.31724690273</v>
      </c>
      <c r="G18" s="26">
        <f>IF(D18&lt;=0,"n/m",E18/D18-1)</f>
        <v>2.8540913998792217E-2</v>
      </c>
      <c r="H18" s="27" t="str">
        <f>_xlfn.XLOOKUP("Total OpEx",tbl_mgmt_variance[metric_label],tbl_mgmt_variance[favorable_unfavorable])</f>
        <v>Unfavorable</v>
      </c>
    </row>
    <row r="19" spans="2:8" ht="15" customHeight="1" x14ac:dyDescent="0.35">
      <c r="B19" s="18" t="s">
        <v>19</v>
      </c>
      <c r="D19" s="23">
        <f>_xlfn.XLOOKUP("Operating Income / (Loss)",tbl_mgmt_variance[metric_label],tbl_mgmt_variance[budget_amount])</f>
        <v>-5625466.8799999952</v>
      </c>
      <c r="E19" s="24">
        <f>_xlfn.XLOOKUP("Operating Income / (Loss)",tbl_mgmt_variance[metric_label],tbl_mgmt_variance[base_amount])</f>
        <v>-5713689.1711312383</v>
      </c>
      <c r="F19" s="25">
        <f>E19-D19</f>
        <v>-88222.29113124311</v>
      </c>
      <c r="G19" s="26" t="str">
        <f>IF(D19&lt;=0,"n/m",E19/D19-1)</f>
        <v>n/m</v>
      </c>
      <c r="H19" s="27" t="str">
        <f>_xlfn.XLOOKUP("Operating Income / (Loss)",tbl_mgmt_variance[metric_label],tbl_mgmt_variance[favorable_unfavorable])</f>
        <v>Unfavorable</v>
      </c>
    </row>
    <row r="20" spans="2:8" ht="15" customHeight="1" x14ac:dyDescent="0.35">
      <c r="B20" s="18" t="s">
        <v>20</v>
      </c>
      <c r="D20" s="30">
        <f>_xlfn.XLOOKUP("Ending Headcount",tbl_mgmt_variance[metric_label],tbl_mgmt_variance[budget_amount])</f>
        <v>214</v>
      </c>
      <c r="E20" s="31">
        <f>_xlfn.XLOOKUP("Ending Headcount",tbl_mgmt_variance[metric_label],tbl_mgmt_variance[base_amount])</f>
        <v>217.66246733183951</v>
      </c>
      <c r="F20" s="32">
        <f>E20-D20</f>
        <v>3.6624673318395082</v>
      </c>
      <c r="G20" s="26">
        <f>IF(D20&lt;=0,"n/m",E20/D20-1)</f>
        <v>1.7114333326352815E-2</v>
      </c>
      <c r="H20" s="27" t="str">
        <f>_xlfn.XLOOKUP("Ending Headcount",tbl_mgmt_variance[metric_label],tbl_mgmt_variance[favorable_unfavorable])</f>
        <v>N/A</v>
      </c>
    </row>
    <row r="21" spans="2:8" ht="7" customHeight="1" x14ac:dyDescent="0.35">
      <c r="B21" s="44"/>
      <c r="C21" s="44"/>
      <c r="D21" s="44"/>
      <c r="E21" s="44"/>
      <c r="F21" s="44"/>
      <c r="G21" s="44"/>
      <c r="H21" s="44"/>
    </row>
    <row r="22" spans="2:8" ht="12" customHeight="1" x14ac:dyDescent="0.35">
      <c r="B22" s="39" t="s">
        <v>21</v>
      </c>
    </row>
    <row r="23" spans="2:8" ht="15" customHeight="1" x14ac:dyDescent="0.35">
      <c r="B23" s="39"/>
    </row>
    <row r="24" spans="2:8" ht="15" customHeight="1" x14ac:dyDescent="0.35">
      <c r="B24" s="39"/>
    </row>
    <row r="25" spans="2:8" ht="15" customHeight="1" x14ac:dyDescent="0.35">
      <c r="B25" s="39"/>
    </row>
    <row r="26" spans="2:8" ht="15" customHeight="1" x14ac:dyDescent="0.35">
      <c r="B26" s="39"/>
    </row>
    <row r="27" spans="2:8" ht="15" customHeight="1" x14ac:dyDescent="0.35">
      <c r="B27" s="39"/>
    </row>
    <row r="28" spans="2:8" ht="15" customHeight="1" x14ac:dyDescent="0.35">
      <c r="B28" s="39"/>
    </row>
    <row r="29" spans="2:8" ht="15" customHeight="1" x14ac:dyDescent="0.35">
      <c r="B29" s="39"/>
    </row>
    <row r="30" spans="2:8" ht="15" customHeight="1" x14ac:dyDescent="0.35">
      <c r="B30" s="39"/>
    </row>
    <row r="31" spans="2:8" ht="15" customHeight="1" x14ac:dyDescent="0.35">
      <c r="B31" s="39"/>
    </row>
    <row r="32" spans="2:8" ht="15" customHeight="1" x14ac:dyDescent="0.35">
      <c r="B32" s="39"/>
    </row>
    <row r="33" spans="2:8" ht="15" customHeight="1" x14ac:dyDescent="0.35">
      <c r="B33" s="39"/>
    </row>
    <row r="34" spans="2:8" ht="15" customHeight="1" x14ac:dyDescent="0.35">
      <c r="B34" s="39"/>
    </row>
    <row r="35" spans="2:8" ht="15" customHeight="1" x14ac:dyDescent="0.35">
      <c r="B35" s="39"/>
    </row>
    <row r="36" spans="2:8" ht="15" customHeight="1" x14ac:dyDescent="0.35">
      <c r="B36" s="39"/>
    </row>
    <row r="37" spans="2:8" ht="15" customHeight="1" x14ac:dyDescent="0.35">
      <c r="B37" s="39"/>
    </row>
    <row r="38" spans="2:8" ht="15" customHeight="1" x14ac:dyDescent="0.35">
      <c r="B38" s="39"/>
    </row>
    <row r="39" spans="2:8" ht="15" customHeight="1" x14ac:dyDescent="0.35">
      <c r="B39" s="39"/>
    </row>
    <row r="40" spans="2:8" ht="7" customHeight="1" x14ac:dyDescent="0.35"/>
    <row r="41" spans="2:8" ht="7" customHeight="1" x14ac:dyDescent="0.35"/>
    <row r="42" spans="2:8" ht="18" customHeight="1" thickBot="1" x14ac:dyDescent="0.4">
      <c r="B42" s="21" t="s">
        <v>207</v>
      </c>
      <c r="C42" s="41"/>
      <c r="D42" s="41"/>
      <c r="E42" s="136"/>
      <c r="F42" s="136"/>
      <c r="G42" s="136"/>
      <c r="H42" s="136"/>
    </row>
    <row r="43" spans="2:8" ht="17" customHeight="1" x14ac:dyDescent="0.35">
      <c r="B43" s="298" t="s">
        <v>208</v>
      </c>
      <c r="C43" s="298"/>
      <c r="D43" s="298"/>
      <c r="E43" s="298"/>
      <c r="F43" s="298"/>
      <c r="G43" s="298"/>
      <c r="H43" s="298"/>
    </row>
    <row r="44" spans="2:8" ht="7" customHeight="1" x14ac:dyDescent="0.35"/>
    <row r="45" spans="2:8" ht="15" customHeight="1" x14ac:dyDescent="0.35">
      <c r="B45" s="246" t="s">
        <v>209</v>
      </c>
      <c r="C45" s="247" t="s">
        <v>942</v>
      </c>
      <c r="D45" s="247" t="s">
        <v>943</v>
      </c>
      <c r="E45" s="226"/>
      <c r="F45" s="226"/>
      <c r="G45" s="226"/>
      <c r="H45" s="226"/>
    </row>
    <row r="46" spans="2:8" ht="15" customHeight="1" x14ac:dyDescent="0.35">
      <c r="B46" s="248" t="s">
        <v>210</v>
      </c>
      <c r="C46" s="249">
        <v>37589315.840000004</v>
      </c>
      <c r="D46" s="250">
        <f>C46</f>
        <v>37589315.840000004</v>
      </c>
      <c r="E46" s="231"/>
      <c r="F46" s="231"/>
      <c r="G46" s="231"/>
      <c r="H46" s="231"/>
    </row>
    <row r="47" spans="2:8" ht="15" customHeight="1" x14ac:dyDescent="0.35">
      <c r="B47" s="251" t="s">
        <v>211</v>
      </c>
      <c r="C47" s="252">
        <v>0</v>
      </c>
      <c r="D47" s="253">
        <f t="shared" ref="D47:D52" si="0">D46+C47</f>
        <v>37589315.840000004</v>
      </c>
      <c r="E47" s="231"/>
      <c r="F47" s="231"/>
      <c r="G47" s="231"/>
      <c r="H47" s="231"/>
    </row>
    <row r="48" spans="2:8" ht="15" customHeight="1" x14ac:dyDescent="0.35">
      <c r="B48" s="251" t="s">
        <v>212</v>
      </c>
      <c r="C48" s="252">
        <v>-2793686.4864355521</v>
      </c>
      <c r="D48" s="253">
        <f t="shared" si="0"/>
        <v>34795629.353564449</v>
      </c>
      <c r="E48" s="231"/>
      <c r="F48" s="231"/>
      <c r="G48" s="231"/>
      <c r="H48" s="231"/>
    </row>
    <row r="49" spans="2:8" ht="15" customHeight="1" x14ac:dyDescent="0.35">
      <c r="B49" s="251" t="s">
        <v>213</v>
      </c>
      <c r="C49" s="252">
        <v>1538102.552951446</v>
      </c>
      <c r="D49" s="253">
        <f t="shared" si="0"/>
        <v>36333731.906515896</v>
      </c>
      <c r="E49" s="231"/>
      <c r="F49" s="231"/>
      <c r="G49" s="231"/>
      <c r="H49" s="231"/>
    </row>
    <row r="50" spans="2:8" ht="15" customHeight="1" x14ac:dyDescent="0.35">
      <c r="B50" s="251" t="s">
        <v>214</v>
      </c>
      <c r="C50" s="252">
        <v>-88950.320000000036</v>
      </c>
      <c r="D50" s="253">
        <f t="shared" si="0"/>
        <v>36244781.586515896</v>
      </c>
      <c r="E50" s="231"/>
      <c r="F50" s="231"/>
      <c r="G50" s="231"/>
      <c r="H50" s="231"/>
    </row>
    <row r="51" spans="2:8" ht="15" customHeight="1" x14ac:dyDescent="0.35">
      <c r="B51" s="251" t="s">
        <v>215</v>
      </c>
      <c r="C51" s="252">
        <v>-1219395.3143991921</v>
      </c>
      <c r="D51" s="253">
        <f t="shared" si="0"/>
        <v>35025386.272116706</v>
      </c>
      <c r="E51" s="231"/>
      <c r="F51" s="231"/>
      <c r="G51" s="231"/>
      <c r="H51" s="231"/>
    </row>
    <row r="52" spans="2:8" ht="15" customHeight="1" x14ac:dyDescent="0.35">
      <c r="B52" s="251" t="s">
        <v>216</v>
      </c>
      <c r="C52" s="252">
        <v>-208969.70731904401</v>
      </c>
      <c r="D52" s="253">
        <f t="shared" si="0"/>
        <v>34816416.564797662</v>
      </c>
      <c r="E52" s="231"/>
      <c r="F52" s="231"/>
      <c r="G52" s="231"/>
      <c r="H52" s="231"/>
    </row>
    <row r="53" spans="2:8" ht="15" customHeight="1" x14ac:dyDescent="0.35">
      <c r="B53" s="248" t="s">
        <v>217</v>
      </c>
      <c r="C53" s="249">
        <v>34816416.564797662</v>
      </c>
      <c r="D53" s="254"/>
      <c r="E53" s="231"/>
      <c r="F53" s="231"/>
      <c r="G53" s="231"/>
      <c r="H53" s="231"/>
    </row>
    <row r="54" spans="2:8" ht="15" customHeight="1" x14ac:dyDescent="0.35">
      <c r="B54" s="54" t="s">
        <v>218</v>
      </c>
      <c r="C54" s="224"/>
      <c r="D54" s="91">
        <f>ROUND(C53-D52,2)</f>
        <v>0</v>
      </c>
      <c r="E54" s="231"/>
      <c r="F54" s="231"/>
      <c r="G54" s="231"/>
      <c r="H54" s="231"/>
    </row>
    <row r="55" spans="2:8" ht="12" customHeight="1" x14ac:dyDescent="0.35">
      <c r="B55" s="39" t="s">
        <v>219</v>
      </c>
    </row>
    <row r="56" spans="2:8" ht="15" customHeight="1" x14ac:dyDescent="0.35">
      <c r="B56" s="39"/>
    </row>
    <row r="57" spans="2:8" ht="15" customHeight="1" x14ac:dyDescent="0.35">
      <c r="B57" s="39"/>
    </row>
    <row r="58" spans="2:8" ht="15" customHeight="1" x14ac:dyDescent="0.35">
      <c r="B58" s="39"/>
    </row>
    <row r="59" spans="2:8" ht="15" customHeight="1" x14ac:dyDescent="0.35">
      <c r="B59" s="39"/>
    </row>
    <row r="60" spans="2:8" ht="15" customHeight="1" x14ac:dyDescent="0.35">
      <c r="B60" s="39"/>
    </row>
    <row r="61" spans="2:8" ht="15" customHeight="1" x14ac:dyDescent="0.35">
      <c r="B61" s="39"/>
    </row>
    <row r="62" spans="2:8" ht="15" customHeight="1" x14ac:dyDescent="0.35">
      <c r="B62" s="39"/>
    </row>
    <row r="63" spans="2:8" ht="15" customHeight="1" x14ac:dyDescent="0.35">
      <c r="B63" s="39"/>
    </row>
    <row r="64" spans="2:8" ht="15" customHeight="1" x14ac:dyDescent="0.35">
      <c r="B64" s="39"/>
    </row>
    <row r="65" spans="2:8" ht="15" customHeight="1" x14ac:dyDescent="0.35">
      <c r="B65" s="39"/>
    </row>
    <row r="66" spans="2:8" ht="15" customHeight="1" x14ac:dyDescent="0.35">
      <c r="B66" s="39"/>
    </row>
    <row r="67" spans="2:8" ht="15" customHeight="1" x14ac:dyDescent="0.35">
      <c r="B67" s="39"/>
    </row>
    <row r="68" spans="2:8" ht="15" customHeight="1" x14ac:dyDescent="0.35">
      <c r="B68" s="39"/>
    </row>
    <row r="69" spans="2:8" ht="15" customHeight="1" x14ac:dyDescent="0.35">
      <c r="B69" s="39"/>
    </row>
    <row r="70" spans="2:8" ht="15" customHeight="1" x14ac:dyDescent="0.35">
      <c r="B70" s="39"/>
    </row>
    <row r="71" spans="2:8" ht="15" customHeight="1" x14ac:dyDescent="0.35">
      <c r="B71" s="39"/>
    </row>
    <row r="72" spans="2:8" ht="15" customHeight="1" x14ac:dyDescent="0.35">
      <c r="B72" s="39"/>
    </row>
    <row r="73" spans="2:8" ht="7" customHeight="1" x14ac:dyDescent="0.35"/>
    <row r="74" spans="2:8" ht="15" customHeight="1" x14ac:dyDescent="0.35"/>
    <row r="75" spans="2:8" ht="18" customHeight="1" thickBot="1" x14ac:dyDescent="0.4">
      <c r="B75" s="21" t="s">
        <v>220</v>
      </c>
      <c r="C75" s="41"/>
      <c r="D75" s="41"/>
      <c r="E75" s="136"/>
      <c r="F75" s="136"/>
      <c r="G75" s="136"/>
      <c r="H75" s="136"/>
    </row>
    <row r="76" spans="2:8" ht="17" customHeight="1" x14ac:dyDescent="0.35">
      <c r="B76" s="298" t="s">
        <v>221</v>
      </c>
      <c r="C76" s="298"/>
      <c r="D76" s="298"/>
      <c r="E76" s="298"/>
      <c r="F76" s="298"/>
      <c r="G76" s="298"/>
      <c r="H76" s="298"/>
    </row>
    <row r="77" spans="2:8" ht="7" customHeight="1" x14ac:dyDescent="0.35"/>
    <row r="78" spans="2:8" ht="15" customHeight="1" x14ac:dyDescent="0.35">
      <c r="B78" s="246" t="s">
        <v>209</v>
      </c>
      <c r="C78" s="247" t="s">
        <v>942</v>
      </c>
      <c r="D78" s="247" t="s">
        <v>943</v>
      </c>
      <c r="E78" s="226"/>
      <c r="F78" s="226"/>
      <c r="G78" s="226"/>
      <c r="H78" s="226"/>
    </row>
    <row r="79" spans="2:8" ht="15" customHeight="1" x14ac:dyDescent="0.35">
      <c r="B79" s="248" t="s">
        <v>222</v>
      </c>
      <c r="C79" s="249">
        <v>24911442.949999999</v>
      </c>
      <c r="D79" s="250">
        <f>C79</f>
        <v>24911442.949999999</v>
      </c>
      <c r="E79" s="231"/>
      <c r="F79" s="231"/>
      <c r="G79" s="231"/>
      <c r="H79" s="231"/>
    </row>
    <row r="80" spans="2:8" ht="15" customHeight="1" x14ac:dyDescent="0.35">
      <c r="B80" s="251" t="s">
        <v>223</v>
      </c>
      <c r="C80" s="252">
        <v>-841657.00834862143</v>
      </c>
      <c r="D80" s="253">
        <f>D79+C80</f>
        <v>24069785.941651378</v>
      </c>
      <c r="E80" s="231"/>
      <c r="F80" s="231"/>
      <c r="G80" s="231"/>
      <c r="H80" s="231"/>
    </row>
    <row r="81" spans="2:8" ht="15" customHeight="1" x14ac:dyDescent="0.35">
      <c r="B81" s="251" t="s">
        <v>224</v>
      </c>
      <c r="C81" s="252">
        <v>1315484.1402001069</v>
      </c>
      <c r="D81" s="253">
        <f>D80+C81</f>
        <v>25385270.081851486</v>
      </c>
      <c r="E81" s="231"/>
      <c r="F81" s="231"/>
      <c r="G81" s="231"/>
      <c r="H81" s="231"/>
    </row>
    <row r="82" spans="2:8" ht="15" customHeight="1" x14ac:dyDescent="0.35">
      <c r="B82" s="251" t="s">
        <v>225</v>
      </c>
      <c r="C82" s="252">
        <v>345292.49000000022</v>
      </c>
      <c r="D82" s="253">
        <f>D81+C82</f>
        <v>25730562.571851484</v>
      </c>
      <c r="E82" s="231"/>
      <c r="F82" s="231"/>
      <c r="G82" s="231"/>
      <c r="H82" s="231"/>
    </row>
    <row r="83" spans="2:8" ht="15" customHeight="1" x14ac:dyDescent="0.35">
      <c r="B83" s="251" t="s">
        <v>226</v>
      </c>
      <c r="C83" s="252">
        <v>-44082.68573582219</v>
      </c>
      <c r="D83" s="253">
        <f>D82+C83</f>
        <v>25686479.886115663</v>
      </c>
      <c r="E83" s="231"/>
      <c r="F83" s="231"/>
      <c r="G83" s="231"/>
      <c r="H83" s="231"/>
    </row>
    <row r="84" spans="2:8" ht="15" customHeight="1" x14ac:dyDescent="0.35">
      <c r="B84" s="251" t="s">
        <v>227</v>
      </c>
      <c r="C84" s="252">
        <v>8292.0900000000111</v>
      </c>
      <c r="D84" s="253">
        <f>D83+C84</f>
        <v>25694771.976115663</v>
      </c>
      <c r="E84" s="231"/>
      <c r="F84" s="231"/>
      <c r="G84" s="231"/>
      <c r="H84" s="231"/>
    </row>
    <row r="85" spans="2:8" ht="15" customHeight="1" x14ac:dyDescent="0.35">
      <c r="B85" s="248" t="s">
        <v>228</v>
      </c>
      <c r="C85" s="249">
        <v>25694771.976115659</v>
      </c>
      <c r="D85" s="254"/>
      <c r="E85" s="231"/>
      <c r="F85" s="231"/>
      <c r="G85" s="231"/>
      <c r="H85" s="231"/>
    </row>
    <row r="86" spans="2:8" ht="15" customHeight="1" x14ac:dyDescent="0.35">
      <c r="B86" s="54" t="s">
        <v>218</v>
      </c>
      <c r="C86" s="224"/>
      <c r="D86" s="91">
        <f>ROUND(C85-D84,2)</f>
        <v>0</v>
      </c>
      <c r="E86" s="231"/>
      <c r="F86" s="231"/>
      <c r="G86" s="231"/>
      <c r="H86" s="231"/>
    </row>
    <row r="87" spans="2:8" ht="12" customHeight="1" x14ac:dyDescent="0.35">
      <c r="B87" s="39" t="s">
        <v>229</v>
      </c>
    </row>
    <row r="88" spans="2:8" ht="15" customHeight="1" x14ac:dyDescent="0.35">
      <c r="B88" s="39"/>
    </row>
    <row r="89" spans="2:8" ht="15" customHeight="1" x14ac:dyDescent="0.35">
      <c r="B89" s="39"/>
    </row>
    <row r="90" spans="2:8" ht="15" customHeight="1" x14ac:dyDescent="0.35">
      <c r="B90" s="39"/>
    </row>
    <row r="91" spans="2:8" ht="15" customHeight="1" x14ac:dyDescent="0.35">
      <c r="B91" s="39"/>
    </row>
    <row r="92" spans="2:8" ht="15" customHeight="1" x14ac:dyDescent="0.35">
      <c r="B92" s="39"/>
    </row>
    <row r="93" spans="2:8" ht="15" customHeight="1" x14ac:dyDescent="0.35">
      <c r="B93" s="39"/>
    </row>
    <row r="94" spans="2:8" ht="15" customHeight="1" x14ac:dyDescent="0.35">
      <c r="B94" s="39"/>
    </row>
    <row r="95" spans="2:8" ht="15" customHeight="1" x14ac:dyDescent="0.35">
      <c r="B95" s="39"/>
    </row>
    <row r="96" spans="2:8" ht="15" customHeight="1" x14ac:dyDescent="0.35">
      <c r="B96" s="39"/>
    </row>
    <row r="97" spans="2:8" ht="15" customHeight="1" x14ac:dyDescent="0.35">
      <c r="B97" s="39"/>
    </row>
    <row r="98" spans="2:8" ht="15" customHeight="1" x14ac:dyDescent="0.35">
      <c r="B98" s="39"/>
    </row>
    <row r="99" spans="2:8" ht="15" customHeight="1" x14ac:dyDescent="0.35">
      <c r="B99" s="39"/>
    </row>
    <row r="100" spans="2:8" ht="15" customHeight="1" x14ac:dyDescent="0.35">
      <c r="B100" s="39"/>
    </row>
    <row r="101" spans="2:8" ht="15" customHeight="1" x14ac:dyDescent="0.35">
      <c r="B101" s="39"/>
    </row>
    <row r="102" spans="2:8" ht="15" customHeight="1" x14ac:dyDescent="0.35">
      <c r="B102" s="39"/>
    </row>
    <row r="103" spans="2:8" ht="15" customHeight="1" x14ac:dyDescent="0.35">
      <c r="B103" s="39"/>
    </row>
    <row r="104" spans="2:8" ht="15" customHeight="1" x14ac:dyDescent="0.35">
      <c r="B104" s="39"/>
    </row>
    <row r="105" spans="2:8" ht="7" customHeight="1" x14ac:dyDescent="0.35"/>
    <row r="106" spans="2:8" ht="15" customHeight="1" x14ac:dyDescent="0.35"/>
    <row r="107" spans="2:8" ht="18" customHeight="1" thickBot="1" x14ac:dyDescent="0.4">
      <c r="B107" s="21" t="s">
        <v>230</v>
      </c>
      <c r="C107" s="41"/>
      <c r="D107" s="41"/>
      <c r="E107" s="136"/>
      <c r="F107" s="136"/>
      <c r="G107" s="136"/>
      <c r="H107" s="136"/>
    </row>
    <row r="108" spans="2:8" ht="17" customHeight="1" x14ac:dyDescent="0.35">
      <c r="B108" s="298" t="s">
        <v>231</v>
      </c>
      <c r="C108" s="298"/>
      <c r="D108" s="298"/>
      <c r="E108" s="298"/>
      <c r="F108" s="298"/>
      <c r="G108" s="298"/>
      <c r="H108" s="298"/>
    </row>
    <row r="109" spans="2:8" ht="7" customHeight="1" x14ac:dyDescent="0.35"/>
    <row r="110" spans="2:8" ht="15" customHeight="1" x14ac:dyDescent="0.35">
      <c r="B110" s="246" t="s">
        <v>209</v>
      </c>
      <c r="C110" s="247" t="s">
        <v>942</v>
      </c>
      <c r="D110" s="247" t="s">
        <v>943</v>
      </c>
      <c r="E110" s="226"/>
      <c r="F110" s="226"/>
      <c r="G110" s="226"/>
      <c r="H110" s="226"/>
    </row>
    <row r="111" spans="2:8" ht="15" customHeight="1" x14ac:dyDescent="0.35">
      <c r="B111" s="248" t="s">
        <v>232</v>
      </c>
      <c r="C111" s="249">
        <v>30536909.829999998</v>
      </c>
      <c r="D111" s="250">
        <f>C111</f>
        <v>30536909.829999998</v>
      </c>
      <c r="E111" s="231"/>
      <c r="F111" s="231"/>
      <c r="G111" s="231"/>
      <c r="H111" s="231"/>
    </row>
    <row r="112" spans="2:8" ht="15" customHeight="1" x14ac:dyDescent="0.35">
      <c r="B112" s="251" t="s">
        <v>233</v>
      </c>
      <c r="C112" s="252">
        <v>2409941.953037763</v>
      </c>
      <c r="D112" s="253">
        <f>D111+C112</f>
        <v>32946851.783037759</v>
      </c>
      <c r="E112" s="231"/>
      <c r="F112" s="231"/>
      <c r="G112" s="231"/>
      <c r="H112" s="231"/>
    </row>
    <row r="113" spans="2:8" ht="15" customHeight="1" x14ac:dyDescent="0.35">
      <c r="B113" s="251" t="s">
        <v>234</v>
      </c>
      <c r="C113" s="252">
        <v>-98267.105790866277</v>
      </c>
      <c r="D113" s="253">
        <f>D112+C113</f>
        <v>32848584.677246895</v>
      </c>
      <c r="E113" s="231"/>
      <c r="F113" s="231"/>
      <c r="G113" s="231"/>
      <c r="H113" s="231"/>
    </row>
    <row r="114" spans="2:8" ht="15" customHeight="1" x14ac:dyDescent="0.35">
      <c r="B114" s="251" t="s">
        <v>235</v>
      </c>
      <c r="C114" s="252">
        <v>-1440123.530000001</v>
      </c>
      <c r="D114" s="253">
        <f>D113+C114</f>
        <v>31408461.147246893</v>
      </c>
      <c r="E114" s="231"/>
      <c r="F114" s="231"/>
      <c r="G114" s="231"/>
      <c r="H114" s="231"/>
    </row>
    <row r="115" spans="2:8" ht="15" customHeight="1" x14ac:dyDescent="0.35">
      <c r="B115" s="248" t="s">
        <v>236</v>
      </c>
      <c r="C115" s="249">
        <v>31408461.147246901</v>
      </c>
      <c r="D115" s="254"/>
      <c r="E115" s="231"/>
      <c r="F115" s="231"/>
      <c r="G115" s="231"/>
      <c r="H115" s="231"/>
    </row>
    <row r="116" spans="2:8" ht="15" customHeight="1" x14ac:dyDescent="0.35">
      <c r="B116" s="54" t="s">
        <v>218</v>
      </c>
      <c r="C116" s="224"/>
      <c r="D116" s="91">
        <f>ROUND(C115-D114,2)</f>
        <v>0</v>
      </c>
      <c r="E116" s="231"/>
      <c r="F116" s="231"/>
      <c r="G116" s="231"/>
      <c r="H116" s="231"/>
    </row>
    <row r="117" spans="2:8" ht="12" customHeight="1" x14ac:dyDescent="0.35">
      <c r="B117" s="39" t="s">
        <v>237</v>
      </c>
    </row>
    <row r="118" spans="2:8" ht="15" customHeight="1" x14ac:dyDescent="0.35">
      <c r="B118" s="39"/>
    </row>
    <row r="119" spans="2:8" ht="15" customHeight="1" x14ac:dyDescent="0.35">
      <c r="B119" s="39"/>
    </row>
    <row r="120" spans="2:8" ht="15" customHeight="1" x14ac:dyDescent="0.35">
      <c r="B120" s="39"/>
    </row>
    <row r="121" spans="2:8" ht="15" customHeight="1" x14ac:dyDescent="0.35">
      <c r="B121" s="39"/>
    </row>
    <row r="122" spans="2:8" ht="15" customHeight="1" x14ac:dyDescent="0.35">
      <c r="B122" s="39"/>
    </row>
    <row r="123" spans="2:8" ht="15" customHeight="1" x14ac:dyDescent="0.35">
      <c r="B123" s="39"/>
    </row>
    <row r="124" spans="2:8" ht="15" customHeight="1" x14ac:dyDescent="0.35">
      <c r="B124" s="39"/>
    </row>
    <row r="125" spans="2:8" ht="15" customHeight="1" x14ac:dyDescent="0.35">
      <c r="B125" s="39"/>
    </row>
    <row r="126" spans="2:8" ht="15" customHeight="1" x14ac:dyDescent="0.35">
      <c r="B126" s="39"/>
    </row>
    <row r="127" spans="2:8" ht="15" customHeight="1" x14ac:dyDescent="0.35">
      <c r="B127" s="39"/>
    </row>
    <row r="128" spans="2:8" ht="15" customHeight="1" x14ac:dyDescent="0.35">
      <c r="B128" s="39"/>
    </row>
    <row r="129" spans="2:8" ht="15" customHeight="1" x14ac:dyDescent="0.35">
      <c r="B129" s="39"/>
    </row>
    <row r="130" spans="2:8" ht="15" customHeight="1" x14ac:dyDescent="0.35">
      <c r="B130" s="39"/>
    </row>
    <row r="131" spans="2:8" ht="15" customHeight="1" x14ac:dyDescent="0.35">
      <c r="B131" s="39"/>
    </row>
    <row r="132" spans="2:8" ht="15" customHeight="1" x14ac:dyDescent="0.35">
      <c r="B132" s="39"/>
    </row>
    <row r="133" spans="2:8" ht="15" customHeight="1" x14ac:dyDescent="0.35">
      <c r="B133" s="39"/>
    </row>
    <row r="134" spans="2:8" ht="15" customHeight="1" x14ac:dyDescent="0.35">
      <c r="B134" s="39"/>
    </row>
    <row r="135" spans="2:8" ht="7" customHeight="1" x14ac:dyDescent="0.35"/>
    <row r="136" spans="2:8" ht="15" customHeight="1" x14ac:dyDescent="0.35"/>
    <row r="137" spans="2:8" ht="18" customHeight="1" thickBot="1" x14ac:dyDescent="0.4">
      <c r="B137" s="21" t="s">
        <v>238</v>
      </c>
      <c r="C137" s="41"/>
      <c r="D137" s="41"/>
      <c r="E137" s="136"/>
      <c r="F137" s="136"/>
      <c r="G137" s="136"/>
      <c r="H137" s="136"/>
    </row>
    <row r="138" spans="2:8" ht="17" customHeight="1" x14ac:dyDescent="0.35">
      <c r="B138" s="298" t="s">
        <v>239</v>
      </c>
      <c r="C138" s="298"/>
      <c r="D138" s="298"/>
      <c r="E138" s="298"/>
      <c r="F138" s="298"/>
      <c r="G138" s="298"/>
      <c r="H138" s="298"/>
    </row>
    <row r="139" spans="2:8" ht="7" customHeight="1" x14ac:dyDescent="0.35"/>
    <row r="140" spans="2:8" ht="15" customHeight="1" x14ac:dyDescent="0.35">
      <c r="B140" s="246" t="s">
        <v>209</v>
      </c>
      <c r="C140" s="247" t="s">
        <v>942</v>
      </c>
      <c r="D140" s="247" t="s">
        <v>943</v>
      </c>
      <c r="E140" s="226"/>
      <c r="F140" s="226"/>
      <c r="G140" s="226"/>
      <c r="H140" s="226"/>
    </row>
    <row r="141" spans="2:8" ht="15" customHeight="1" x14ac:dyDescent="0.35">
      <c r="B141" s="248" t="s">
        <v>240</v>
      </c>
      <c r="C141" s="249">
        <v>-5625466.8799999952</v>
      </c>
      <c r="D141" s="250">
        <f>C141</f>
        <v>-5625466.8799999952</v>
      </c>
      <c r="E141" s="231"/>
      <c r="F141" s="231"/>
      <c r="G141" s="231"/>
      <c r="H141" s="231"/>
    </row>
    <row r="142" spans="2:8" ht="15" customHeight="1" x14ac:dyDescent="0.35">
      <c r="B142" s="251" t="s">
        <v>241</v>
      </c>
      <c r="C142" s="252">
        <v>-425016.07124917948</v>
      </c>
      <c r="D142" s="253">
        <f t="shared" ref="D142:D148" si="1">D141+C142</f>
        <v>-6050482.9512491748</v>
      </c>
      <c r="E142" s="231"/>
      <c r="F142" s="231"/>
      <c r="G142" s="231"/>
      <c r="H142" s="231"/>
    </row>
    <row r="143" spans="2:8" ht="15" customHeight="1" x14ac:dyDescent="0.35">
      <c r="B143" s="251" t="s">
        <v>242</v>
      </c>
      <c r="C143" s="252">
        <v>-416640.93709944747</v>
      </c>
      <c r="D143" s="253">
        <f t="shared" si="1"/>
        <v>-6467123.8883486222</v>
      </c>
      <c r="E143" s="231"/>
      <c r="F143" s="231"/>
      <c r="G143" s="231"/>
      <c r="H143" s="231"/>
    </row>
    <row r="144" spans="2:8" ht="15" customHeight="1" x14ac:dyDescent="0.35">
      <c r="B144" s="251" t="s">
        <v>243</v>
      </c>
      <c r="C144" s="252">
        <v>1660776.6302001071</v>
      </c>
      <c r="D144" s="253">
        <f t="shared" si="1"/>
        <v>-4806347.2581485156</v>
      </c>
      <c r="E144" s="231"/>
      <c r="F144" s="231"/>
      <c r="G144" s="231"/>
      <c r="H144" s="231"/>
    </row>
    <row r="145" spans="2:8" ht="15" customHeight="1" x14ac:dyDescent="0.35">
      <c r="B145" s="251" t="s">
        <v>244</v>
      </c>
      <c r="C145" s="252">
        <v>-35790.595735822222</v>
      </c>
      <c r="D145" s="253">
        <f t="shared" si="1"/>
        <v>-4842137.8538843375</v>
      </c>
      <c r="E145" s="231"/>
      <c r="F145" s="231"/>
      <c r="G145" s="231"/>
      <c r="H145" s="231"/>
    </row>
    <row r="146" spans="2:8" ht="15" customHeight="1" x14ac:dyDescent="0.35">
      <c r="B146" s="251" t="s">
        <v>245</v>
      </c>
      <c r="C146" s="252">
        <v>-901152.14136246219</v>
      </c>
      <c r="D146" s="253">
        <f t="shared" si="1"/>
        <v>-5743289.9952467997</v>
      </c>
      <c r="E146" s="231"/>
      <c r="F146" s="231"/>
      <c r="G146" s="231"/>
      <c r="H146" s="231"/>
    </row>
    <row r="147" spans="2:8" ht="15" customHeight="1" x14ac:dyDescent="0.35">
      <c r="B147" s="251" t="s">
        <v>246</v>
      </c>
      <c r="C147" s="252">
        <v>80429.13787378557</v>
      </c>
      <c r="D147" s="253">
        <f t="shared" si="1"/>
        <v>-5662860.8573730141</v>
      </c>
      <c r="E147" s="231"/>
      <c r="F147" s="231"/>
      <c r="G147" s="231"/>
      <c r="H147" s="231"/>
    </row>
    <row r="148" spans="2:8" ht="15" customHeight="1" x14ac:dyDescent="0.35">
      <c r="B148" s="251" t="s">
        <v>247</v>
      </c>
      <c r="C148" s="252">
        <v>-50828.313758221448</v>
      </c>
      <c r="D148" s="253">
        <f t="shared" si="1"/>
        <v>-5713689.1711312355</v>
      </c>
      <c r="E148" s="231"/>
      <c r="F148" s="231"/>
      <c r="G148" s="231"/>
      <c r="H148" s="231"/>
    </row>
    <row r="149" spans="2:8" ht="15" customHeight="1" x14ac:dyDescent="0.35">
      <c r="B149" s="248" t="s">
        <v>248</v>
      </c>
      <c r="C149" s="249">
        <v>-5713689.1711312383</v>
      </c>
      <c r="D149" s="254"/>
      <c r="E149" s="231"/>
      <c r="F149" s="231"/>
      <c r="G149" s="231"/>
      <c r="H149" s="231"/>
    </row>
    <row r="150" spans="2:8" ht="15" customHeight="1" x14ac:dyDescent="0.35">
      <c r="B150" s="54" t="s">
        <v>218</v>
      </c>
      <c r="C150" s="224"/>
      <c r="D150" s="91">
        <f>ROUND(C149-D148,2)</f>
        <v>0</v>
      </c>
      <c r="E150" s="231"/>
      <c r="F150" s="231"/>
      <c r="G150" s="231"/>
      <c r="H150" s="231"/>
    </row>
    <row r="151" spans="2:8" ht="12" customHeight="1" x14ac:dyDescent="0.35">
      <c r="B151" s="39" t="s">
        <v>249</v>
      </c>
    </row>
    <row r="152" spans="2:8" ht="15" customHeight="1" x14ac:dyDescent="0.35">
      <c r="B152" s="39"/>
    </row>
    <row r="153" spans="2:8" ht="15" customHeight="1" x14ac:dyDescent="0.35">
      <c r="B153" s="39"/>
    </row>
    <row r="154" spans="2:8" ht="15" customHeight="1" x14ac:dyDescent="0.35">
      <c r="B154" s="39"/>
    </row>
    <row r="155" spans="2:8" ht="15" customHeight="1" x14ac:dyDescent="0.35">
      <c r="B155" s="39"/>
    </row>
    <row r="156" spans="2:8" ht="15" customHeight="1" x14ac:dyDescent="0.35">
      <c r="B156" s="39"/>
    </row>
    <row r="157" spans="2:8" ht="15" customHeight="1" x14ac:dyDescent="0.35">
      <c r="B157" s="39"/>
    </row>
    <row r="158" spans="2:8" ht="15" customHeight="1" x14ac:dyDescent="0.35">
      <c r="B158" s="39"/>
    </row>
    <row r="159" spans="2:8" ht="15" customHeight="1" x14ac:dyDescent="0.35">
      <c r="B159" s="39"/>
    </row>
    <row r="160" spans="2:8" ht="15" customHeight="1" x14ac:dyDescent="0.35">
      <c r="B160" s="39"/>
    </row>
    <row r="161" spans="2:8" ht="15" customHeight="1" x14ac:dyDescent="0.35">
      <c r="B161" s="39"/>
    </row>
    <row r="162" spans="2:8" ht="15" customHeight="1" x14ac:dyDescent="0.35">
      <c r="B162" s="39"/>
    </row>
    <row r="163" spans="2:8" ht="15" customHeight="1" x14ac:dyDescent="0.35">
      <c r="B163" s="39"/>
    </row>
    <row r="164" spans="2:8" ht="15" customHeight="1" x14ac:dyDescent="0.35">
      <c r="B164" s="39"/>
    </row>
    <row r="165" spans="2:8" ht="15" customHeight="1" x14ac:dyDescent="0.35">
      <c r="B165" s="39"/>
    </row>
    <row r="166" spans="2:8" ht="15" customHeight="1" x14ac:dyDescent="0.35">
      <c r="B166" s="39"/>
    </row>
    <row r="167" spans="2:8" ht="15" customHeight="1" x14ac:dyDescent="0.35">
      <c r="B167" s="39"/>
    </row>
    <row r="168" spans="2:8" ht="15" customHeight="1" x14ac:dyDescent="0.35">
      <c r="B168" s="39"/>
    </row>
    <row r="169" spans="2:8" ht="7" customHeight="1" x14ac:dyDescent="0.35"/>
    <row r="170" spans="2:8" ht="15" customHeight="1" x14ac:dyDescent="0.35"/>
    <row r="171" spans="2:8" ht="18" customHeight="1" thickBot="1" x14ac:dyDescent="0.4">
      <c r="B171" s="21" t="s">
        <v>250</v>
      </c>
      <c r="C171" s="41"/>
      <c r="D171" s="41"/>
      <c r="E171" s="136"/>
      <c r="F171" s="136"/>
      <c r="G171" s="136"/>
      <c r="H171" s="136"/>
    </row>
    <row r="172" spans="2:8" ht="17" customHeight="1" x14ac:dyDescent="0.35">
      <c r="B172" s="298" t="s">
        <v>251</v>
      </c>
      <c r="C172" s="298"/>
      <c r="D172" s="298"/>
      <c r="E172" s="298"/>
      <c r="F172" s="298"/>
      <c r="G172" s="298"/>
      <c r="H172" s="298"/>
    </row>
    <row r="173" spans="2:8" ht="7" customHeight="1" x14ac:dyDescent="0.35"/>
    <row r="174" spans="2:8" ht="15" customHeight="1" x14ac:dyDescent="0.35">
      <c r="B174" s="65" t="s">
        <v>252</v>
      </c>
      <c r="C174" s="28">
        <v>0.74069274331201918</v>
      </c>
    </row>
    <row r="175" spans="2:8" ht="15" customHeight="1" x14ac:dyDescent="0.35">
      <c r="B175" s="65" t="s">
        <v>253</v>
      </c>
      <c r="C175" s="28">
        <v>0.78359291533380759</v>
      </c>
    </row>
    <row r="176" spans="2:8" ht="15" customHeight="1" x14ac:dyDescent="0.35">
      <c r="B176" s="49" t="s">
        <v>254</v>
      </c>
      <c r="C176" s="90">
        <v>429.00172021788421</v>
      </c>
    </row>
    <row r="177" spans="2:8" ht="15" customHeight="1" x14ac:dyDescent="0.35"/>
    <row r="178" spans="2:8" ht="12" customHeight="1" x14ac:dyDescent="0.35">
      <c r="B178" s="39" t="s">
        <v>229</v>
      </c>
    </row>
    <row r="179" spans="2:8" ht="7" customHeight="1" x14ac:dyDescent="0.35"/>
    <row r="180" spans="2:8" ht="15" customHeight="1" x14ac:dyDescent="0.35"/>
    <row r="181" spans="2:8" ht="18" customHeight="1" thickBot="1" x14ac:dyDescent="0.4">
      <c r="B181" s="21" t="s">
        <v>255</v>
      </c>
      <c r="C181" s="41"/>
      <c r="D181" s="41"/>
      <c r="E181" s="136"/>
      <c r="F181" s="136"/>
      <c r="G181" s="136"/>
      <c r="H181" s="136"/>
    </row>
    <row r="182" spans="2:8" ht="17" customHeight="1" x14ac:dyDescent="0.35">
      <c r="B182" s="298" t="s">
        <v>256</v>
      </c>
      <c r="C182" s="298"/>
      <c r="D182" s="298"/>
      <c r="E182" s="298"/>
      <c r="F182" s="298"/>
      <c r="G182" s="298"/>
      <c r="H182" s="298"/>
    </row>
    <row r="183" spans="2:8" ht="7" customHeight="1" x14ac:dyDescent="0.35"/>
    <row r="184" spans="2:8" ht="26" customHeight="1" x14ac:dyDescent="0.35">
      <c r="B184" s="20" t="s">
        <v>257</v>
      </c>
      <c r="C184" s="20" t="s">
        <v>209</v>
      </c>
      <c r="D184" s="42" t="s">
        <v>942</v>
      </c>
    </row>
    <row r="185" spans="2:8" ht="17.399999999999999" customHeight="1" x14ac:dyDescent="0.35">
      <c r="B185" s="22" t="s">
        <v>165</v>
      </c>
      <c r="C185" s="119" t="s">
        <v>258</v>
      </c>
      <c r="D185" s="151">
        <v>926973.59</v>
      </c>
    </row>
    <row r="186" spans="2:8" ht="44.25" customHeight="1" x14ac:dyDescent="0.35">
      <c r="B186" s="22" t="s">
        <v>165</v>
      </c>
      <c r="C186" s="119" t="s">
        <v>259</v>
      </c>
      <c r="D186" s="151">
        <v>-35328.628793961369</v>
      </c>
    </row>
    <row r="187" spans="2:8" ht="17.399999999999999" customHeight="1" x14ac:dyDescent="0.35">
      <c r="B187" s="22" t="s">
        <v>165</v>
      </c>
      <c r="C187" s="119" t="s">
        <v>260</v>
      </c>
      <c r="D187" s="151">
        <v>-415162.74646994373</v>
      </c>
    </row>
    <row r="188" spans="2:8" ht="30.75" customHeight="1" x14ac:dyDescent="0.35">
      <c r="B188" s="22" t="s">
        <v>165</v>
      </c>
      <c r="C188" s="119" t="s">
        <v>261</v>
      </c>
      <c r="D188" s="151">
        <v>33850.438164457497</v>
      </c>
    </row>
    <row r="189" spans="2:8" ht="17.399999999999999" customHeight="1" x14ac:dyDescent="0.35">
      <c r="B189" s="22" t="s">
        <v>165</v>
      </c>
      <c r="C189" s="119" t="s">
        <v>262</v>
      </c>
      <c r="D189" s="151">
        <v>510332.65290055249</v>
      </c>
    </row>
    <row r="190" spans="2:8" ht="17.399999999999999" customHeight="1" x14ac:dyDescent="0.35">
      <c r="B190" s="22" t="s">
        <v>164</v>
      </c>
      <c r="C190" s="119" t="s">
        <v>263</v>
      </c>
      <c r="D190" s="151">
        <v>32705653.670000002</v>
      </c>
    </row>
    <row r="191" spans="2:8" ht="44.25" customHeight="1" x14ac:dyDescent="0.35">
      <c r="B191" s="22" t="s">
        <v>164</v>
      </c>
      <c r="C191" s="119" t="s">
        <v>264</v>
      </c>
      <c r="D191" s="151">
        <v>-1.1666715145110999E-3</v>
      </c>
    </row>
    <row r="192" spans="2:8" ht="17.399999999999999" customHeight="1" x14ac:dyDescent="0.35">
      <c r="B192" s="22" t="s">
        <v>164</v>
      </c>
      <c r="C192" s="119" t="s">
        <v>265</v>
      </c>
      <c r="D192" s="151">
        <v>-425016.07908251142</v>
      </c>
    </row>
    <row r="193" spans="2:8" ht="30.75" customHeight="1" x14ac:dyDescent="0.35">
      <c r="B193" s="22" t="s">
        <v>164</v>
      </c>
      <c r="C193" s="119" t="s">
        <v>261</v>
      </c>
      <c r="D193" s="151">
        <v>9.0000033378601005E-3</v>
      </c>
    </row>
    <row r="194" spans="2:8" ht="17.399999999999999" customHeight="1" x14ac:dyDescent="0.35">
      <c r="B194" s="22" t="s">
        <v>164</v>
      </c>
      <c r="C194" s="119" t="s">
        <v>266</v>
      </c>
      <c r="D194" s="151">
        <v>32280637.598750819</v>
      </c>
    </row>
    <row r="195" spans="2:8" ht="17.399999999999999" customHeight="1" x14ac:dyDescent="0.35">
      <c r="B195" s="22" t="s">
        <v>166</v>
      </c>
      <c r="C195" s="119" t="s">
        <v>267</v>
      </c>
      <c r="D195" s="151">
        <v>33632627.260000013</v>
      </c>
    </row>
    <row r="196" spans="2:8" ht="30.75" customHeight="1" x14ac:dyDescent="0.35">
      <c r="B196" s="22" t="s">
        <v>166</v>
      </c>
      <c r="C196" s="119" t="s">
        <v>268</v>
      </c>
      <c r="D196" s="151">
        <v>-35328.629960632883</v>
      </c>
    </row>
    <row r="197" spans="2:8" ht="30.75" customHeight="1" x14ac:dyDescent="0.35">
      <c r="B197" s="22" t="s">
        <v>166</v>
      </c>
      <c r="C197" s="119" t="s">
        <v>269</v>
      </c>
      <c r="D197" s="151">
        <v>-840178.82555245503</v>
      </c>
    </row>
    <row r="198" spans="2:8" ht="30.75" customHeight="1" x14ac:dyDescent="0.35">
      <c r="B198" s="22" t="s">
        <v>166</v>
      </c>
      <c r="C198" s="119" t="s">
        <v>270</v>
      </c>
      <c r="D198" s="151">
        <v>33850.447164460842</v>
      </c>
    </row>
    <row r="199" spans="2:8" ht="17.399999999999999" customHeight="1" x14ac:dyDescent="0.35">
      <c r="B199" s="22" t="s">
        <v>166</v>
      </c>
      <c r="C199" s="119" t="s">
        <v>271</v>
      </c>
      <c r="D199" s="151">
        <v>32790970.25165138</v>
      </c>
    </row>
    <row r="200" spans="2:8" ht="15" customHeight="1" x14ac:dyDescent="0.35"/>
    <row r="201" spans="2:8" ht="12" customHeight="1" x14ac:dyDescent="0.35">
      <c r="B201" s="39" t="s">
        <v>272</v>
      </c>
    </row>
    <row r="202" spans="2:8" ht="7" customHeight="1" x14ac:dyDescent="0.35"/>
    <row r="203" spans="2:8" ht="15" customHeight="1" x14ac:dyDescent="0.35"/>
    <row r="204" spans="2:8" ht="30" customHeight="1" x14ac:dyDescent="0.35">
      <c r="B204" s="298" t="s">
        <v>273</v>
      </c>
      <c r="C204" s="298"/>
      <c r="D204" s="298"/>
      <c r="E204" s="298"/>
      <c r="F204" s="298"/>
      <c r="G204" s="298"/>
      <c r="H204" s="298"/>
    </row>
  </sheetData>
  <mergeCells count="9">
    <mergeCell ref="B172:H172"/>
    <mergeCell ref="B182:H182"/>
    <mergeCell ref="B7:H7"/>
    <mergeCell ref="B204:H204"/>
    <mergeCell ref="B10:H10"/>
    <mergeCell ref="B43:H43"/>
    <mergeCell ref="B76:H76"/>
    <mergeCell ref="B108:H108"/>
    <mergeCell ref="B138:H138"/>
  </mergeCells>
  <conditionalFormatting sqref="F13:G20">
    <cfRule type="expression" dxfId="24" priority="3">
      <formula>$H13="Favorable"</formula>
    </cfRule>
    <cfRule type="expression" dxfId="23" priority="4">
      <formula>$H13="Unfavorable"</formula>
    </cfRule>
  </conditionalFormatting>
  <conditionalFormatting sqref="H13:H20">
    <cfRule type="cellIs" dxfId="22" priority="1" operator="equal">
      <formula>"Favorable"</formula>
    </cfRule>
    <cfRule type="cellIs" dxfId="21" priority="2" operator="equal">
      <formula>"Unfavorable"</formula>
    </cfRule>
  </conditionalFormatting>
  <hyperlinks>
    <hyperlink ref="H1" location="'Model Guide'!A1" display="← Model Guide" xr:uid="{67BA5616-1A01-4768-89EC-A07871AC8607}"/>
  </hyperlinks>
  <pageMargins left="0.19444444444444445" right="0.19444444444444445" top="0.27777777777777779" bottom="0.27777777777777779" header="0.5" footer="0.5"/>
  <pageSetup scale="86" fitToHeight="0" orientation="landscape" r:id="rId1"/>
  <ignoredErrors>
    <ignoredError sqref="F17" formula="1"/>
  </ignoredError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5E8C"/>
    <pageSetUpPr fitToPage="1"/>
  </sheetPr>
  <dimension ref="B1:Y104"/>
  <sheetViews>
    <sheetView showGridLines="0" zoomScaleNormal="10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44" customWidth="1"/>
    <col min="3" max="6" width="15" customWidth="1"/>
    <col min="7" max="7" width="2" customWidth="1"/>
    <col min="8" max="16" width="10.453125" customWidth="1"/>
  </cols>
  <sheetData>
    <row r="1" spans="2:25" ht="24" customHeight="1" x14ac:dyDescent="0.35">
      <c r="B1" s="37" t="s">
        <v>0</v>
      </c>
      <c r="G1" s="147" t="s">
        <v>939</v>
      </c>
    </row>
    <row r="2" spans="2:25" ht="15" customHeight="1" x14ac:dyDescent="0.35">
      <c r="B2" s="38" t="s">
        <v>103</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6"/>
      <c r="I5" s="46"/>
      <c r="J5" s="46"/>
      <c r="K5" s="46"/>
      <c r="L5" s="46"/>
      <c r="M5" s="46"/>
      <c r="N5" s="46"/>
      <c r="O5" s="46"/>
      <c r="P5" s="46"/>
      <c r="Q5" s="46"/>
      <c r="R5" s="46"/>
      <c r="S5" s="46"/>
      <c r="T5" s="46"/>
      <c r="U5" s="46"/>
      <c r="V5" s="46"/>
      <c r="W5" s="46"/>
      <c r="X5" s="46"/>
      <c r="Y5" s="46"/>
    </row>
    <row r="6" spans="2:25" ht="7" customHeight="1" x14ac:dyDescent="0.35"/>
    <row r="7" spans="2:25" ht="18" customHeight="1" thickBot="1" x14ac:dyDescent="0.4">
      <c r="B7" s="21" t="s">
        <v>1153</v>
      </c>
      <c r="C7" s="41"/>
      <c r="D7" s="41"/>
      <c r="E7" s="41"/>
      <c r="F7" s="41"/>
      <c r="G7" s="41"/>
    </row>
    <row r="8" spans="2:25" ht="30" customHeight="1" x14ac:dyDescent="0.35">
      <c r="B8" s="296" t="s">
        <v>104</v>
      </c>
      <c r="C8" s="296"/>
      <c r="D8" s="296"/>
      <c r="E8" s="296"/>
      <c r="F8" s="296"/>
      <c r="G8" s="296"/>
      <c r="H8" s="117"/>
    </row>
    <row r="9" spans="2:25" ht="15" customHeight="1" x14ac:dyDescent="0.35">
      <c r="B9" s="117"/>
      <c r="C9" s="117"/>
      <c r="D9" s="117"/>
      <c r="E9" s="117"/>
      <c r="F9" s="117"/>
      <c r="G9" s="117"/>
    </row>
    <row r="10" spans="2:25" ht="15" customHeight="1" x14ac:dyDescent="0.35">
      <c r="B10" s="117"/>
      <c r="C10" s="117"/>
      <c r="D10" s="117"/>
      <c r="E10" s="117"/>
      <c r="F10" s="117"/>
      <c r="G10" s="117"/>
    </row>
    <row r="11" spans="2:25" ht="15" customHeight="1" x14ac:dyDescent="0.35">
      <c r="B11" s="117"/>
      <c r="C11" s="117"/>
      <c r="D11" s="117"/>
      <c r="E11" s="117"/>
      <c r="F11" s="117"/>
      <c r="G11" s="117"/>
    </row>
    <row r="12" spans="2:25" ht="15" customHeight="1" x14ac:dyDescent="0.35">
      <c r="B12" s="117"/>
      <c r="C12" s="117"/>
      <c r="D12" s="117"/>
      <c r="E12" s="117"/>
      <c r="F12" s="117"/>
      <c r="G12" s="117"/>
    </row>
    <row r="13" spans="2:25" ht="15" customHeight="1" x14ac:dyDescent="0.35">
      <c r="B13" s="117"/>
      <c r="C13" s="117"/>
      <c r="D13" s="117"/>
      <c r="E13" s="117"/>
      <c r="F13" s="117"/>
      <c r="G13" s="117"/>
    </row>
    <row r="14" spans="2:25" ht="15" customHeight="1" x14ac:dyDescent="0.35">
      <c r="B14" s="117"/>
      <c r="C14" s="117"/>
      <c r="D14" s="117"/>
      <c r="E14" s="117"/>
      <c r="F14" s="117"/>
      <c r="G14" s="117"/>
    </row>
    <row r="15" spans="2:25" ht="15" customHeight="1" x14ac:dyDescent="0.35">
      <c r="B15" s="117"/>
      <c r="C15" s="117"/>
      <c r="D15" s="117"/>
      <c r="E15" s="117"/>
      <c r="F15" s="117"/>
      <c r="G15" s="117"/>
    </row>
    <row r="16" spans="2:25" ht="15" customHeight="1" x14ac:dyDescent="0.35">
      <c r="B16" s="117"/>
      <c r="C16" s="117"/>
      <c r="D16" s="117"/>
      <c r="E16" s="117"/>
      <c r="F16" s="117"/>
      <c r="G16" s="117"/>
    </row>
    <row r="17" spans="2:7" ht="15" customHeight="1" x14ac:dyDescent="0.35">
      <c r="B17" s="117"/>
      <c r="C17" s="117"/>
      <c r="D17" s="117"/>
      <c r="E17" s="117"/>
      <c r="F17" s="117"/>
      <c r="G17" s="117"/>
    </row>
    <row r="18" spans="2:7" ht="15" customHeight="1" x14ac:dyDescent="0.35">
      <c r="B18" s="117"/>
      <c r="C18" s="117"/>
      <c r="D18" s="117"/>
      <c r="E18" s="117"/>
      <c r="F18" s="117"/>
      <c r="G18" s="117"/>
    </row>
    <row r="19" spans="2:7" ht="15" customHeight="1" x14ac:dyDescent="0.35">
      <c r="B19" s="117"/>
      <c r="C19" s="117"/>
      <c r="D19" s="117"/>
      <c r="E19" s="117"/>
      <c r="F19" s="117"/>
      <c r="G19" s="117"/>
    </row>
    <row r="20" spans="2:7" ht="15" customHeight="1" x14ac:dyDescent="0.35">
      <c r="B20" s="117"/>
      <c r="C20" s="117"/>
      <c r="D20" s="117"/>
      <c r="E20" s="117"/>
      <c r="F20" s="117"/>
      <c r="G20" s="117"/>
    </row>
    <row r="21" spans="2:7" ht="15" customHeight="1" x14ac:dyDescent="0.35">
      <c r="B21" s="117"/>
      <c r="C21" s="117"/>
      <c r="D21" s="117"/>
      <c r="E21" s="117"/>
      <c r="F21" s="117"/>
      <c r="G21" s="117"/>
    </row>
    <row r="22" spans="2:7" ht="15" customHeight="1" x14ac:dyDescent="0.35">
      <c r="B22" s="117"/>
      <c r="C22" s="117"/>
      <c r="D22" s="117"/>
      <c r="E22" s="117"/>
      <c r="F22" s="117"/>
      <c r="G22" s="117"/>
    </row>
    <row r="23" spans="2:7" ht="15" customHeight="1" x14ac:dyDescent="0.35">
      <c r="B23" s="117"/>
      <c r="C23" s="117"/>
      <c r="D23" s="117"/>
      <c r="E23" s="117"/>
      <c r="F23" s="117"/>
      <c r="G23" s="117"/>
    </row>
    <row r="24" spans="2:7" ht="15" customHeight="1" x14ac:dyDescent="0.35">
      <c r="B24" s="117"/>
      <c r="C24" s="117"/>
      <c r="D24" s="117"/>
      <c r="E24" s="117"/>
      <c r="F24" s="117"/>
      <c r="G24" s="117"/>
    </row>
    <row r="25" spans="2:7" ht="15" customHeight="1" x14ac:dyDescent="0.35">
      <c r="B25" s="117"/>
      <c r="C25" s="117"/>
      <c r="D25" s="117"/>
      <c r="E25" s="117"/>
      <c r="F25" s="117"/>
      <c r="G25" s="117"/>
    </row>
    <row r="26" spans="2:7" ht="7" customHeight="1" x14ac:dyDescent="0.35"/>
    <row r="27" spans="2:7" ht="26" customHeight="1" x14ac:dyDescent="0.35">
      <c r="B27" s="215" t="s">
        <v>105</v>
      </c>
      <c r="C27" s="216" t="s">
        <v>77</v>
      </c>
      <c r="D27" s="216" t="s">
        <v>78</v>
      </c>
      <c r="E27" s="216" t="s">
        <v>79</v>
      </c>
      <c r="F27" s="216" t="s">
        <v>76</v>
      </c>
      <c r="G27" s="226"/>
    </row>
    <row r="28" spans="2:7" ht="15" customHeight="1" x14ac:dyDescent="0.35">
      <c r="B28" s="232" t="s">
        <v>106</v>
      </c>
      <c r="C28" s="255">
        <f>_xlfn.XLOOKUP("SMB",tbl_gtm_constraint[segment],tbl_gtm_constraint[h2_capacity_supported_arr])</f>
        <v>714807.53045252606</v>
      </c>
      <c r="D28" s="255">
        <f>_xlfn.XLOOKUP("Mid-Market",tbl_gtm_constraint[segment],tbl_gtm_constraint[h2_capacity_supported_arr])</f>
        <v>1159750.8519158859</v>
      </c>
      <c r="E28" s="255">
        <f>_xlfn.XLOOKUP("Enterprise",tbl_gtm_constraint[segment],tbl_gtm_constraint[h2_capacity_supported_arr])</f>
        <v>1046300.3998817489</v>
      </c>
      <c r="F28" s="255">
        <f>_xlfn.XLOOKUP("Total",tbl_gtm_constraint[segment],tbl_gtm_constraint[h2_capacity_supported_arr])</f>
        <v>2920858.7822501608</v>
      </c>
      <c r="G28" s="231"/>
    </row>
    <row r="29" spans="2:7" ht="15" customHeight="1" x14ac:dyDescent="0.35">
      <c r="B29" s="232" t="s">
        <v>107</v>
      </c>
      <c r="C29" s="255">
        <f>_xlfn.XLOOKUP("SMB",tbl_gtm_constraint[segment],tbl_gtm_constraint[h2_pipeline_supported_arr])</f>
        <v>386188.83559110289</v>
      </c>
      <c r="D29" s="255">
        <f>_xlfn.XLOOKUP("Mid-Market",tbl_gtm_constraint[segment],tbl_gtm_constraint[h2_pipeline_supported_arr])</f>
        <v>534297.93248792272</v>
      </c>
      <c r="E29" s="255">
        <f>_xlfn.XLOOKUP("Enterprise",tbl_gtm_constraint[segment],tbl_gtm_constraint[h2_pipeline_supported_arr])</f>
        <v>298807.88062499999</v>
      </c>
      <c r="F29" s="255">
        <f>_xlfn.XLOOKUP("Total",tbl_gtm_constraint[segment],tbl_gtm_constraint[h2_pipeline_supported_arr])</f>
        <v>1219294.6487040259</v>
      </c>
      <c r="G29" s="231"/>
    </row>
    <row r="30" spans="2:7" ht="15" customHeight="1" x14ac:dyDescent="0.35">
      <c r="B30" s="227" t="s">
        <v>108</v>
      </c>
      <c r="C30" s="256">
        <f>_xlfn.XLOOKUP("SMB",tbl_gtm_constraint[segment],tbl_gtm_constraint[h2_constrained_new_logo_arr])</f>
        <v>366168.10929849331</v>
      </c>
      <c r="D30" s="256">
        <f>_xlfn.XLOOKUP("Mid-Market",tbl_gtm_constraint[segment],tbl_gtm_constraint[h2_constrained_new_logo_arr])</f>
        <v>517792.04364095401</v>
      </c>
      <c r="E30" s="256">
        <f>_xlfn.XLOOKUP("Enterprise",tbl_gtm_constraint[segment],tbl_gtm_constraint[h2_constrained_new_logo_arr])</f>
        <v>298807.88062499999</v>
      </c>
      <c r="F30" s="256">
        <f>_xlfn.XLOOKUP("Total",tbl_gtm_constraint[segment],tbl_gtm_constraint[h2_constrained_new_logo_arr])</f>
        <v>1182768.033564447</v>
      </c>
      <c r="G30" s="231"/>
    </row>
    <row r="31" spans="2:7" ht="15" customHeight="1" x14ac:dyDescent="0.35">
      <c r="B31" s="232" t="s">
        <v>109</v>
      </c>
      <c r="C31" s="257" t="str">
        <f>_xlfn.XLOOKUP("SMB",tbl_gtm_constraint[segment],tbl_gtm_constraint[primary_binding_constraint])</f>
        <v>Pipeline</v>
      </c>
      <c r="D31" s="257" t="str">
        <f>_xlfn.XLOOKUP("Mid-Market",tbl_gtm_constraint[segment],tbl_gtm_constraint[primary_binding_constraint])</f>
        <v>Pipeline</v>
      </c>
      <c r="E31" s="257" t="str">
        <f>_xlfn.XLOOKUP("Enterprise",tbl_gtm_constraint[segment],tbl_gtm_constraint[primary_binding_constraint])</f>
        <v>Pipeline</v>
      </c>
      <c r="F31" s="257" t="str">
        <f>_xlfn.XLOOKUP("Total",tbl_gtm_constraint[segment],tbl_gtm_constraint[primary_binding_constraint])</f>
        <v>Pipeline</v>
      </c>
      <c r="G31" s="231"/>
    </row>
    <row r="32" spans="2:7" ht="15" customHeight="1" x14ac:dyDescent="0.35">
      <c r="B32" s="232" t="s">
        <v>110</v>
      </c>
      <c r="C32" s="233">
        <f>_xlfn.XLOOKUP("SMB",tbl_gtm_constraint[segment],tbl_gtm_constraint[h2_pipeline_bound_months])</f>
        <v>4</v>
      </c>
      <c r="D32" s="233">
        <f>_xlfn.XLOOKUP("Mid-Market",tbl_gtm_constraint[segment],tbl_gtm_constraint[h2_pipeline_bound_months])</f>
        <v>5</v>
      </c>
      <c r="E32" s="233">
        <f>_xlfn.XLOOKUP("Enterprise",tbl_gtm_constraint[segment],tbl_gtm_constraint[h2_pipeline_bound_months])</f>
        <v>6</v>
      </c>
      <c r="F32" s="233">
        <f>_xlfn.XLOOKUP("Total",tbl_gtm_constraint[segment],tbl_gtm_constraint[h2_pipeline_bound_months])</f>
        <v>15</v>
      </c>
      <c r="G32" s="231"/>
    </row>
    <row r="33" spans="2:8" ht="15" customHeight="1" x14ac:dyDescent="0.35">
      <c r="B33" s="232" t="s">
        <v>111</v>
      </c>
      <c r="C33" s="233">
        <f>_xlfn.XLOOKUP("SMB",tbl_gtm_constraint[segment],tbl_gtm_constraint[h2_capacity_bound_months])</f>
        <v>2</v>
      </c>
      <c r="D33" s="233">
        <f>_xlfn.XLOOKUP("Mid-Market",tbl_gtm_constraint[segment],tbl_gtm_constraint[h2_capacity_bound_months])</f>
        <v>1</v>
      </c>
      <c r="E33" s="233">
        <f>_xlfn.XLOOKUP("Enterprise",tbl_gtm_constraint[segment],tbl_gtm_constraint[h2_capacity_bound_months])</f>
        <v>0</v>
      </c>
      <c r="F33" s="233">
        <f>_xlfn.XLOOKUP("Total",tbl_gtm_constraint[segment],tbl_gtm_constraint[h2_capacity_bound_months])</f>
        <v>3</v>
      </c>
      <c r="G33" s="231"/>
    </row>
    <row r="34" spans="2:8" ht="15" customHeight="1" x14ac:dyDescent="0.35">
      <c r="B34" s="232" t="s">
        <v>112</v>
      </c>
      <c r="C34" s="255">
        <f>_xlfn.XLOOKUP("SMB",tbl_gtm_constraint[segment],tbl_gtm_constraint[budget_new_logo_arr])</f>
        <v>1829782.4475185401</v>
      </c>
      <c r="D34" s="255">
        <f>_xlfn.XLOOKUP("Mid-Market",tbl_gtm_constraint[segment],tbl_gtm_constraint[budget_new_logo_arr])</f>
        <v>2525822.075571598</v>
      </c>
      <c r="E34" s="255">
        <f>_xlfn.XLOOKUP("Enterprise",tbl_gtm_constraint[segment],tbl_gtm_constraint[budget_new_logo_arr])</f>
        <v>1644395.4769098631</v>
      </c>
      <c r="F34" s="255">
        <f>_xlfn.XLOOKUP("Total",tbl_gtm_constraint[segment],tbl_gtm_constraint[budget_new_logo_arr])</f>
        <v>6000000</v>
      </c>
      <c r="G34" s="231"/>
    </row>
    <row r="35" spans="2:8" ht="15" customHeight="1" x14ac:dyDescent="0.35">
      <c r="B35" s="232" t="s">
        <v>113</v>
      </c>
      <c r="C35" s="255">
        <f>_xlfn.XLOOKUP("SMB",tbl_gtm_constraint[segment],tbl_gtm_constraint[base_new_logo_arr])</f>
        <v>853380.70929849334</v>
      </c>
      <c r="D35" s="255">
        <f>_xlfn.XLOOKUP("Mid-Market",tbl_gtm_constraint[segment],tbl_gtm_constraint[base_new_logo_arr])</f>
        <v>1335241.5236409539</v>
      </c>
      <c r="E35" s="255">
        <f>_xlfn.XLOOKUP("Enterprise",tbl_gtm_constraint[segment],tbl_gtm_constraint[base_new_logo_arr])</f>
        <v>1017691.280625</v>
      </c>
      <c r="F35" s="255">
        <f>_xlfn.XLOOKUP("Total",tbl_gtm_constraint[segment],tbl_gtm_constraint[base_new_logo_arr])</f>
        <v>3206313.5135644479</v>
      </c>
      <c r="G35" s="231"/>
    </row>
    <row r="36" spans="2:8" ht="15" customHeight="1" x14ac:dyDescent="0.35">
      <c r="B36" s="232" t="s">
        <v>114</v>
      </c>
      <c r="C36" s="258">
        <f>_xlfn.XLOOKUP("SMB",tbl_gtm_constraint[segment],tbl_gtm_constraint[new_logo_arr_variance])</f>
        <v>-976401.73822004639</v>
      </c>
      <c r="D36" s="258">
        <f>_xlfn.XLOOKUP("Mid-Market",tbl_gtm_constraint[segment],tbl_gtm_constraint[new_logo_arr_variance])</f>
        <v>-1190580.5519306441</v>
      </c>
      <c r="E36" s="258">
        <f>_xlfn.XLOOKUP("Enterprise",tbl_gtm_constraint[segment],tbl_gtm_constraint[new_logo_arr_variance])</f>
        <v>-626704.19628486258</v>
      </c>
      <c r="F36" s="258">
        <f>_xlfn.XLOOKUP("Total",tbl_gtm_constraint[segment],tbl_gtm_constraint[new_logo_arr_variance])</f>
        <v>-2793686.4864355521</v>
      </c>
      <c r="G36" s="231"/>
    </row>
    <row r="37" spans="2:8" ht="15" customHeight="1" x14ac:dyDescent="0.35"/>
    <row r="38" spans="2:8" ht="25" customHeight="1" x14ac:dyDescent="0.35">
      <c r="B38" s="313" t="s">
        <v>115</v>
      </c>
      <c r="C38" s="313"/>
      <c r="D38" s="313"/>
      <c r="E38" s="313"/>
      <c r="F38" s="313"/>
      <c r="G38" s="313"/>
    </row>
    <row r="39" spans="2:8" ht="7" customHeight="1" x14ac:dyDescent="0.35"/>
    <row r="40" spans="2:8" ht="15" customHeight="1" x14ac:dyDescent="0.35"/>
    <row r="41" spans="2:8" ht="18" customHeight="1" thickBot="1" x14ac:dyDescent="0.4">
      <c r="B41" s="21" t="s">
        <v>116</v>
      </c>
      <c r="C41" s="41"/>
      <c r="D41" s="41"/>
      <c r="E41" s="41"/>
      <c r="F41" s="41"/>
      <c r="G41" s="41"/>
    </row>
    <row r="42" spans="2:8" ht="30" customHeight="1" x14ac:dyDescent="0.35">
      <c r="B42" s="296" t="s">
        <v>117</v>
      </c>
      <c r="C42" s="296"/>
      <c r="D42" s="296"/>
      <c r="E42" s="296"/>
      <c r="F42" s="296"/>
      <c r="G42" s="296"/>
      <c r="H42" s="117"/>
    </row>
    <row r="43" spans="2:8" ht="7" customHeight="1" x14ac:dyDescent="0.35"/>
    <row r="44" spans="2:8" ht="26" customHeight="1" x14ac:dyDescent="0.35">
      <c r="B44" s="20" t="s">
        <v>118</v>
      </c>
      <c r="C44" s="42" t="s">
        <v>77</v>
      </c>
      <c r="D44" s="42" t="s">
        <v>78</v>
      </c>
      <c r="E44" s="42" t="s">
        <v>79</v>
      </c>
      <c r="F44" s="42" t="s">
        <v>76</v>
      </c>
    </row>
    <row r="45" spans="2:8" ht="15" customHeight="1" x14ac:dyDescent="0.35">
      <c r="B45" s="18" t="s">
        <v>119</v>
      </c>
      <c r="C45" s="48">
        <f>_xlfn.XLOOKUP("SMB",tbl_gtm_capacity[segment],tbl_gtm_capacity[quota_carrying_reps])</f>
        <v>5</v>
      </c>
      <c r="D45" s="48">
        <f>_xlfn.XLOOKUP("Mid-Market",tbl_gtm_capacity[segment],tbl_gtm_capacity[quota_carrying_reps])</f>
        <v>7</v>
      </c>
      <c r="E45" s="48">
        <f>_xlfn.XLOOKUP("Enterprise",tbl_gtm_capacity[segment],tbl_gtm_capacity[quota_carrying_reps])</f>
        <v>4</v>
      </c>
      <c r="F45" s="48">
        <f>_xlfn.XLOOKUP("Total",tbl_gtm_capacity[segment],tbl_gtm_capacity[quota_carrying_reps])</f>
        <v>16</v>
      </c>
    </row>
    <row r="46" spans="2:8" ht="15" customHeight="1" x14ac:dyDescent="0.35">
      <c r="B46" s="18" t="s">
        <v>120</v>
      </c>
      <c r="C46" s="55">
        <f>_xlfn.XLOOKUP("SMB",tbl_gtm_capacity[segment],tbl_gtm_capacity[theoretical_quota_capacity])</f>
        <v>291666.66666666669</v>
      </c>
      <c r="D46" s="55">
        <f>_xlfn.XLOOKUP("Mid-Market",tbl_gtm_capacity[segment],tbl_gtm_capacity[theoretical_quota_capacity])</f>
        <v>562500</v>
      </c>
      <c r="E46" s="55">
        <f>_xlfn.XLOOKUP("Enterprise",tbl_gtm_capacity[segment],tbl_gtm_capacity[theoretical_quota_capacity])</f>
        <v>390833.33333333337</v>
      </c>
      <c r="F46" s="55">
        <f>_xlfn.XLOOKUP("Total",tbl_gtm_capacity[segment],tbl_gtm_capacity[theoretical_quota_capacity])</f>
        <v>1245000</v>
      </c>
    </row>
    <row r="47" spans="2:8" ht="12" customHeight="1" x14ac:dyDescent="0.35">
      <c r="B47" s="18" t="s">
        <v>121</v>
      </c>
      <c r="C47" s="55">
        <f>_xlfn.XLOOKUP("SMB",tbl_gtm_capacity[segment],tbl_gtm_capacity[blended_productive_capacity])</f>
        <v>137236.94427480921</v>
      </c>
      <c r="D47" s="55">
        <f>_xlfn.XLOOKUP("Mid-Market",tbl_gtm_capacity[segment],tbl_gtm_capacity[blended_productive_capacity])</f>
        <v>433832.47235795471</v>
      </c>
      <c r="E47" s="55">
        <f>_xlfn.XLOOKUP("Enterprise",tbl_gtm_capacity[segment],tbl_gtm_capacity[blended_productive_capacity])</f>
        <v>223611.26016500001</v>
      </c>
      <c r="F47" s="55">
        <f>_xlfn.XLOOKUP("Total",tbl_gtm_capacity[segment],tbl_gtm_capacity[blended_productive_capacity])</f>
        <v>794680.67679776379</v>
      </c>
      <c r="H47" s="22" t="s">
        <v>122</v>
      </c>
    </row>
    <row r="48" spans="2:8" ht="15" customHeight="1" x14ac:dyDescent="0.35">
      <c r="B48" s="34" t="s">
        <v>123</v>
      </c>
      <c r="C48" s="56">
        <f>_xlfn.XLOOKUP("SMB",tbl_gtm_capacity[segment],tbl_gtm_capacity[new_logo_productive_capacity])</f>
        <v>119122.89663226571</v>
      </c>
      <c r="D48" s="56">
        <f>_xlfn.XLOOKUP("Mid-Market",tbl_gtm_capacity[segment],tbl_gtm_capacity[new_logo_productive_capacity])</f>
        <v>179944.28677507091</v>
      </c>
      <c r="E48" s="56">
        <f>_xlfn.XLOOKUP("Enterprise",tbl_gtm_capacity[segment],tbl_gtm_capacity[new_logo_productive_capacity])</f>
        <v>128300.0166172992</v>
      </c>
      <c r="F48" s="56">
        <f>_xlfn.XLOOKUP("Total",tbl_gtm_capacity[segment],tbl_gtm_capacity[new_logo_productive_capacity])</f>
        <v>427367.20002463588</v>
      </c>
    </row>
    <row r="49" spans="2:8" ht="15" customHeight="1" x14ac:dyDescent="0.35">
      <c r="B49" s="18" t="s">
        <v>124</v>
      </c>
      <c r="C49" s="28">
        <f>_xlfn.XLOOKUP("SMB",tbl_gtm_capacity[segment],tbl_gtm_capacity[expected_attainment])</f>
        <v>0.47052666608506</v>
      </c>
      <c r="D49" s="28">
        <f>_xlfn.XLOOKUP("Mid-Market",tbl_gtm_capacity[segment],tbl_gtm_capacity[expected_attainment])</f>
        <v>0.77125772863636388</v>
      </c>
      <c r="E49" s="28">
        <f>_xlfn.XLOOKUP("Enterprise",tbl_gtm_capacity[segment],tbl_gtm_capacity[expected_attainment])</f>
        <v>0.57213968485714284</v>
      </c>
      <c r="F49" s="266">
        <f>IF(COUNTIF(tbl_gtm_capacity[segment],"Total")=0,"not in source",_xlfn.XLOOKUP("Total",tbl_gtm_capacity[segment],tbl_gtm_capacity[expected_attainment]))</f>
        <v>0</v>
      </c>
    </row>
    <row r="50" spans="2:8" ht="15" customHeight="1" x14ac:dyDescent="0.35">
      <c r="B50" s="18" t="s">
        <v>125</v>
      </c>
      <c r="C50" s="28">
        <f>_xlfn.XLOOKUP("SMB",tbl_gtm_capacity[segment],tbl_gtm_capacity[new_logo_share_of_bookings])</f>
        <v>0.86800895532713762</v>
      </c>
      <c r="D50" s="28">
        <f>_xlfn.XLOOKUP("Mid-Market",tbl_gtm_capacity[segment],tbl_gtm_capacity[new_logo_share_of_bookings])</f>
        <v>0.41477828018968371</v>
      </c>
      <c r="E50" s="28">
        <f>_xlfn.XLOOKUP("Enterprise",tbl_gtm_capacity[segment],tbl_gtm_capacity[new_logo_share_of_bookings])</f>
        <v>0.57376366701134907</v>
      </c>
      <c r="F50" s="266">
        <f>IF(COUNTIF(tbl_gtm_capacity[segment],"Total")=0,"not in source",_xlfn.XLOOKUP("Total",tbl_gtm_capacity[segment],tbl_gtm_capacity[new_logo_share_of_bookings]))</f>
        <v>0</v>
      </c>
    </row>
    <row r="51" spans="2:8" ht="15" customHeight="1" x14ac:dyDescent="0.35">
      <c r="B51" s="18" t="s">
        <v>126</v>
      </c>
      <c r="C51" s="55">
        <f>_xlfn.XLOOKUP("SMB",tbl_gtm_capacity[segment],tbl_gtm_capacity[actual_bookings])</f>
        <v>73488.649999999994</v>
      </c>
      <c r="D51" s="55">
        <f>_xlfn.XLOOKUP("Mid-Market",tbl_gtm_capacity[segment],tbl_gtm_capacity[actual_bookings])</f>
        <v>340773.66</v>
      </c>
      <c r="E51" s="55">
        <f>_xlfn.XLOOKUP("Enterprise",tbl_gtm_capacity[segment],tbl_gtm_capacity[actual_bookings])</f>
        <v>480972.18</v>
      </c>
      <c r="F51" s="55">
        <f>_xlfn.XLOOKUP("Total",tbl_gtm_capacity[segment],tbl_gtm_capacity[actual_bookings])</f>
        <v>895234.49</v>
      </c>
    </row>
    <row r="52" spans="2:8" ht="15" customHeight="1" x14ac:dyDescent="0.35"/>
    <row r="53" spans="2:8" ht="12" customHeight="1" x14ac:dyDescent="0.35">
      <c r="B53" s="39" t="s">
        <v>127</v>
      </c>
    </row>
    <row r="54" spans="2:8" ht="7" customHeight="1" x14ac:dyDescent="0.35"/>
    <row r="55" spans="2:8" ht="15" customHeight="1" x14ac:dyDescent="0.35"/>
    <row r="56" spans="2:8" ht="18" customHeight="1" thickBot="1" x14ac:dyDescent="0.4">
      <c r="B56" s="21" t="s">
        <v>128</v>
      </c>
      <c r="C56" s="41"/>
      <c r="D56" s="41"/>
      <c r="E56" s="41"/>
      <c r="F56" s="41"/>
      <c r="G56" s="41"/>
    </row>
    <row r="57" spans="2:8" ht="30" customHeight="1" x14ac:dyDescent="0.35">
      <c r="B57" s="296" t="s">
        <v>129</v>
      </c>
      <c r="C57" s="296"/>
      <c r="D57" s="296"/>
      <c r="E57" s="296"/>
      <c r="F57" s="296"/>
      <c r="G57" s="296"/>
      <c r="H57" s="117"/>
    </row>
    <row r="58" spans="2:8" ht="7" customHeight="1" x14ac:dyDescent="0.35"/>
    <row r="59" spans="2:8" ht="26" customHeight="1" x14ac:dyDescent="0.35">
      <c r="B59" s="20" t="s">
        <v>130</v>
      </c>
      <c r="C59" s="42" t="s">
        <v>77</v>
      </c>
      <c r="D59" s="42" t="s">
        <v>78</v>
      </c>
      <c r="E59" s="42" t="s">
        <v>79</v>
      </c>
      <c r="F59" s="42" t="s">
        <v>76</v>
      </c>
    </row>
    <row r="60" spans="2:8" ht="15" customHeight="1" x14ac:dyDescent="0.35">
      <c r="B60" s="18" t="s">
        <v>131</v>
      </c>
      <c r="C60" s="28">
        <f>_xlfn.XLOOKUP("SMB",tbl_win_rate[segment],tbl_win_rate[win_rate])</f>
        <v>0.27991137370753322</v>
      </c>
      <c r="D60" s="28">
        <f>_xlfn.XLOOKUP("Mid-Market",tbl_win_rate[segment],tbl_win_rate[win_rate])</f>
        <v>0.21</v>
      </c>
      <c r="E60" s="28">
        <f>_xlfn.XLOOKUP("Enterprise",tbl_win_rate[segment],tbl_win_rate[win_rate])</f>
        <v>0.16</v>
      </c>
      <c r="F60" s="28">
        <f>_xlfn.XLOOKUP("Total",tbl_win_rate[segment],tbl_win_rate[win_rate])</f>
        <v>0.25467407781707929</v>
      </c>
    </row>
    <row r="61" spans="2:8" ht="15" customHeight="1" x14ac:dyDescent="0.35">
      <c r="B61" s="18" t="s">
        <v>132</v>
      </c>
      <c r="C61" s="57">
        <f>_xlfn.XLOOKUP("SMB",tbl_win_rate[segment],tbl_win_rate[required_pipeline_per_dollar])</f>
        <v>3.5725593667546169</v>
      </c>
      <c r="D61" s="57">
        <f>_xlfn.XLOOKUP("Mid-Market",tbl_win_rate[segment],tbl_win_rate[required_pipeline_per_dollar])</f>
        <v>4.7619047619047619</v>
      </c>
      <c r="E61" s="57">
        <f>_xlfn.XLOOKUP("Enterprise",tbl_win_rate[segment],tbl_win_rate[required_pipeline_per_dollar])</f>
        <v>6.25</v>
      </c>
      <c r="F61" s="57">
        <f>_xlfn.XLOOKUP("Total",tbl_win_rate[segment],tbl_win_rate[required_pipeline_per_dollar])</f>
        <v>3.926587301587301</v>
      </c>
    </row>
    <row r="62" spans="2:8" ht="15" customHeight="1" x14ac:dyDescent="0.35">
      <c r="B62" s="18" t="s">
        <v>133</v>
      </c>
      <c r="C62" s="58">
        <f>_xlfn.XLOOKUP("SMB",tbl_win_rate[segment],tbl_win_rate[median_sales_cycle_days])</f>
        <v>26</v>
      </c>
      <c r="D62" s="58">
        <f>_xlfn.XLOOKUP("Mid-Market",tbl_win_rate[segment],tbl_win_rate[median_sales_cycle_days])</f>
        <v>58</v>
      </c>
      <c r="E62" s="58">
        <f>_xlfn.XLOOKUP("Enterprise",tbl_win_rate[segment],tbl_win_rate[median_sales_cycle_days])</f>
        <v>113.5</v>
      </c>
      <c r="F62" s="58">
        <f>_xlfn.XLOOKUP("Total",tbl_win_rate[segment],tbl_win_rate[median_sales_cycle_days])</f>
        <v>31</v>
      </c>
    </row>
    <row r="63" spans="2:8" ht="15" customHeight="1" x14ac:dyDescent="0.35">
      <c r="B63" s="18" t="s">
        <v>134</v>
      </c>
      <c r="C63" s="48">
        <f>_xlfn.XLOOKUP("SMB",tbl_win_rate[segment],tbl_win_rate[closed_won])</f>
        <v>379</v>
      </c>
      <c r="D63" s="48">
        <f>_xlfn.XLOOKUP("Mid-Market",tbl_win_rate[segment],tbl_win_rate[closed_won])</f>
        <v>105</v>
      </c>
      <c r="E63" s="48">
        <f>_xlfn.XLOOKUP("Enterprise",tbl_win_rate[segment],tbl_win_rate[closed_won])</f>
        <v>20</v>
      </c>
      <c r="F63" s="48">
        <f>_xlfn.XLOOKUP("Total",tbl_win_rate[segment],tbl_win_rate[closed_won])</f>
        <v>504</v>
      </c>
    </row>
    <row r="64" spans="2:8" ht="15" customHeight="1" x14ac:dyDescent="0.35">
      <c r="B64" s="18" t="s">
        <v>135</v>
      </c>
      <c r="C64" s="48">
        <f>_xlfn.XLOOKUP("SMB",tbl_win_rate[segment],tbl_win_rate[closed_lost])</f>
        <v>975</v>
      </c>
      <c r="D64" s="48">
        <f>_xlfn.XLOOKUP("Mid-Market",tbl_win_rate[segment],tbl_win_rate[closed_lost])</f>
        <v>395</v>
      </c>
      <c r="E64" s="48">
        <f>_xlfn.XLOOKUP("Enterprise",tbl_win_rate[segment],tbl_win_rate[closed_lost])</f>
        <v>105</v>
      </c>
      <c r="F64" s="48">
        <f>_xlfn.XLOOKUP("Total",tbl_win_rate[segment],tbl_win_rate[closed_lost])</f>
        <v>1475</v>
      </c>
    </row>
    <row r="65" spans="2:8" ht="15" customHeight="1" x14ac:dyDescent="0.35">
      <c r="B65" s="18" t="s">
        <v>136</v>
      </c>
      <c r="F65" s="56">
        <f>SUM(tbl_pipeline[unweighted_acv])</f>
        <v>4661152.37</v>
      </c>
    </row>
    <row r="66" spans="2:8" ht="15" customHeight="1" x14ac:dyDescent="0.35">
      <c r="B66" s="18" t="s">
        <v>137</v>
      </c>
      <c r="F66" s="55">
        <f>SUM(tbl_pipeline[weighted_acv])</f>
        <v>1495372.9715000002</v>
      </c>
    </row>
    <row r="67" spans="2:8" ht="15" customHeight="1" x14ac:dyDescent="0.35">
      <c r="B67" s="18" t="s">
        <v>138</v>
      </c>
      <c r="F67" s="36">
        <f>SUM(tbl_pipeline[unweighted_acv])/_xlfn.XLOOKUP("Total",tbl_gtm_constraint[segment],tbl_gtm_constraint[budget_new_logo_arr])</f>
        <v>0.77685872833333336</v>
      </c>
    </row>
    <row r="68" spans="2:8" ht="15" customHeight="1" x14ac:dyDescent="0.35"/>
    <row r="69" spans="2:8" ht="12" customHeight="1" x14ac:dyDescent="0.35">
      <c r="B69" s="39" t="s">
        <v>139</v>
      </c>
    </row>
    <row r="70" spans="2:8" ht="7" customHeight="1" x14ac:dyDescent="0.35"/>
    <row r="71" spans="2:8" ht="15" customHeight="1" x14ac:dyDescent="0.35"/>
    <row r="72" spans="2:8" ht="18" customHeight="1" thickBot="1" x14ac:dyDescent="0.4">
      <c r="B72" s="21" t="s">
        <v>140</v>
      </c>
      <c r="C72" s="41"/>
      <c r="D72" s="41"/>
      <c r="E72" s="41"/>
      <c r="F72" s="41"/>
      <c r="G72" s="41"/>
    </row>
    <row r="73" spans="2:8" ht="30" customHeight="1" x14ac:dyDescent="0.35">
      <c r="B73" s="296" t="s">
        <v>141</v>
      </c>
      <c r="C73" s="296"/>
      <c r="D73" s="296"/>
      <c r="E73" s="296"/>
      <c r="F73" s="296"/>
      <c r="G73" s="296"/>
      <c r="H73" s="117"/>
    </row>
    <row r="74" spans="2:8" ht="15" customHeight="1" x14ac:dyDescent="0.35">
      <c r="B74" s="117"/>
      <c r="C74" s="117"/>
      <c r="D74" s="117"/>
      <c r="E74" s="117"/>
      <c r="F74" s="117"/>
      <c r="G74" s="117"/>
      <c r="H74" s="117"/>
    </row>
    <row r="75" spans="2:8" ht="15" customHeight="1" x14ac:dyDescent="0.35">
      <c r="B75" s="117"/>
      <c r="C75" s="117"/>
      <c r="D75" s="117"/>
      <c r="E75" s="117"/>
      <c r="F75" s="117"/>
      <c r="G75" s="117"/>
      <c r="H75" s="117"/>
    </row>
    <row r="76" spans="2:8" ht="15" customHeight="1" x14ac:dyDescent="0.35">
      <c r="B76" s="117"/>
      <c r="C76" s="117"/>
      <c r="D76" s="117"/>
      <c r="E76" s="117"/>
      <c r="F76" s="117"/>
      <c r="G76" s="117"/>
      <c r="H76" s="117"/>
    </row>
    <row r="77" spans="2:8" ht="15" customHeight="1" x14ac:dyDescent="0.35">
      <c r="B77" s="117"/>
      <c r="C77" s="117"/>
      <c r="D77" s="117"/>
      <c r="E77" s="117"/>
      <c r="F77" s="117"/>
      <c r="G77" s="117"/>
      <c r="H77" s="117"/>
    </row>
    <row r="78" spans="2:8" ht="15" customHeight="1" x14ac:dyDescent="0.35">
      <c r="B78" s="117"/>
      <c r="C78" s="117"/>
      <c r="D78" s="117"/>
      <c r="E78" s="117"/>
      <c r="F78" s="117"/>
      <c r="G78" s="117"/>
      <c r="H78" s="117"/>
    </row>
    <row r="79" spans="2:8" ht="15" customHeight="1" x14ac:dyDescent="0.35">
      <c r="B79" s="117"/>
      <c r="C79" s="117"/>
      <c r="D79" s="117"/>
      <c r="E79" s="117"/>
      <c r="F79" s="117"/>
      <c r="G79" s="117"/>
      <c r="H79" s="117"/>
    </row>
    <row r="80" spans="2:8" ht="15" customHeight="1" x14ac:dyDescent="0.35">
      <c r="B80" s="117"/>
      <c r="C80" s="117"/>
      <c r="D80" s="117"/>
      <c r="E80" s="117"/>
      <c r="F80" s="117"/>
      <c r="G80" s="117"/>
      <c r="H80" s="117"/>
    </row>
    <row r="81" spans="2:8" ht="15" customHeight="1" x14ac:dyDescent="0.35">
      <c r="B81" s="117"/>
      <c r="C81" s="117"/>
      <c r="D81" s="117"/>
      <c r="E81" s="117"/>
      <c r="F81" s="117"/>
      <c r="G81" s="117"/>
      <c r="H81" s="117"/>
    </row>
    <row r="82" spans="2:8" ht="15" customHeight="1" x14ac:dyDescent="0.35">
      <c r="B82" s="117"/>
      <c r="C82" s="117"/>
      <c r="D82" s="117"/>
      <c r="E82" s="117"/>
      <c r="F82" s="117"/>
      <c r="G82" s="117"/>
      <c r="H82" s="117"/>
    </row>
    <row r="83" spans="2:8" ht="15" customHeight="1" x14ac:dyDescent="0.35">
      <c r="B83" s="117"/>
      <c r="C83" s="117"/>
      <c r="D83" s="117"/>
      <c r="E83" s="117"/>
      <c r="F83" s="117"/>
      <c r="G83" s="117"/>
      <c r="H83" s="117"/>
    </row>
    <row r="84" spans="2:8" ht="15" customHeight="1" x14ac:dyDescent="0.35">
      <c r="B84" s="117"/>
      <c r="C84" s="117"/>
      <c r="D84" s="117"/>
      <c r="E84" s="117"/>
      <c r="F84" s="117"/>
      <c r="G84" s="117"/>
      <c r="H84" s="117"/>
    </row>
    <row r="85" spans="2:8" ht="15" customHeight="1" x14ac:dyDescent="0.35">
      <c r="B85" s="117"/>
      <c r="C85" s="117"/>
      <c r="D85" s="117"/>
      <c r="E85" s="117"/>
      <c r="F85" s="117"/>
      <c r="G85" s="117"/>
      <c r="H85" s="117"/>
    </row>
    <row r="86" spans="2:8" ht="15" customHeight="1" x14ac:dyDescent="0.35">
      <c r="B86" s="117"/>
      <c r="C86" s="117"/>
      <c r="D86" s="117"/>
      <c r="E86" s="117"/>
      <c r="F86" s="117"/>
      <c r="G86" s="117"/>
      <c r="H86" s="117"/>
    </row>
    <row r="87" spans="2:8" ht="7" customHeight="1" x14ac:dyDescent="0.35">
      <c r="B87" s="117"/>
      <c r="C87" s="117"/>
      <c r="D87" s="117"/>
      <c r="E87" s="117"/>
      <c r="F87" s="117"/>
      <c r="G87" s="117"/>
      <c r="H87" s="117"/>
    </row>
    <row r="88" spans="2:8" ht="7" customHeight="1" x14ac:dyDescent="0.35"/>
    <row r="89" spans="2:8" ht="26" customHeight="1" x14ac:dyDescent="0.35">
      <c r="B89" s="215" t="s">
        <v>142</v>
      </c>
      <c r="C89" s="216" t="s">
        <v>77</v>
      </c>
      <c r="D89" s="216" t="s">
        <v>78</v>
      </c>
      <c r="E89" s="216" t="s">
        <v>79</v>
      </c>
      <c r="F89" s="216" t="s">
        <v>143</v>
      </c>
      <c r="G89" s="226"/>
    </row>
    <row r="90" spans="2:8" ht="15" customHeight="1" x14ac:dyDescent="0.35">
      <c r="B90" s="232" t="s">
        <v>144</v>
      </c>
      <c r="C90" s="233">
        <f>_xlfn.XLOOKUP("SMB",tbl_unit_econ[segment],tbl_unit_econ[new_logos])</f>
        <v>178</v>
      </c>
      <c r="D90" s="233">
        <f>_xlfn.XLOOKUP("Mid-Market",tbl_unit_econ[segment],tbl_unit_econ[new_logos])</f>
        <v>47</v>
      </c>
      <c r="E90" s="233">
        <f>_xlfn.XLOOKUP("Enterprise",tbl_unit_econ[segment],tbl_unit_econ[new_logos])</f>
        <v>7</v>
      </c>
      <c r="F90" s="233">
        <f>_xlfn.XLOOKUP("Blended",tbl_unit_econ[segment],tbl_unit_econ[new_logos])</f>
        <v>232</v>
      </c>
      <c r="G90" s="231"/>
    </row>
    <row r="91" spans="2:8" ht="15" customHeight="1" x14ac:dyDescent="0.35">
      <c r="B91" s="232" t="s">
        <v>145</v>
      </c>
      <c r="C91" s="255">
        <f>_xlfn.XLOOKUP("SMB",tbl_unit_econ[segment],tbl_unit_econ[new_logo_arr])</f>
        <v>1613700.84</v>
      </c>
      <c r="D91" s="255">
        <f>_xlfn.XLOOKUP("Mid-Market",tbl_unit_econ[segment],tbl_unit_econ[new_logo_arr])</f>
        <v>2227544.16</v>
      </c>
      <c r="E91" s="255">
        <f>_xlfn.XLOOKUP("Enterprise",tbl_unit_econ[segment],tbl_unit_econ[new_logo_arr])</f>
        <v>1450206.48</v>
      </c>
      <c r="F91" s="255">
        <f>_xlfn.XLOOKUP("Blended",tbl_unit_econ[segment],tbl_unit_econ[new_logo_arr])</f>
        <v>5291451.4800000004</v>
      </c>
      <c r="G91" s="231"/>
    </row>
    <row r="92" spans="2:8" ht="15" customHeight="1" x14ac:dyDescent="0.35">
      <c r="B92" s="232" t="s">
        <v>146</v>
      </c>
      <c r="C92" s="259">
        <f>_xlfn.XLOOKUP("SMB",tbl_unit_econ[segment],tbl_unit_econ[new_logo_arpa])</f>
        <v>9065.7350561797757</v>
      </c>
      <c r="D92" s="259">
        <f>_xlfn.XLOOKUP("Mid-Market",tbl_unit_econ[segment],tbl_unit_econ[new_logo_arpa])</f>
        <v>47394.556595744682</v>
      </c>
      <c r="E92" s="259">
        <f>_xlfn.XLOOKUP("Enterprise",tbl_unit_econ[segment],tbl_unit_econ[new_logo_arpa])</f>
        <v>207172.3542857143</v>
      </c>
      <c r="F92" s="259">
        <f>_xlfn.XLOOKUP("Blended",tbl_unit_econ[segment],tbl_unit_econ[new_logo_arpa])</f>
        <v>22807.98051724138</v>
      </c>
      <c r="G92" s="231"/>
    </row>
    <row r="93" spans="2:8" ht="15" customHeight="1" x14ac:dyDescent="0.35">
      <c r="B93" s="227" t="s">
        <v>147</v>
      </c>
      <c r="C93" s="260">
        <f>_xlfn.XLOOKUP("SMB",tbl_unit_econ[segment],tbl_unit_econ[cac])</f>
        <v>16294.32202672683</v>
      </c>
      <c r="D93" s="260">
        <f>_xlfn.XLOOKUP("Mid-Market",tbl_unit_econ[segment],tbl_unit_econ[cac])</f>
        <v>71385.392946799984</v>
      </c>
      <c r="E93" s="260">
        <f>_xlfn.XLOOKUP("Enterprise",tbl_unit_econ[segment],tbl_unit_econ[cac])</f>
        <v>310652.35938366188</v>
      </c>
      <c r="F93" s="260">
        <f>_xlfn.XLOOKUP("Blended",tbl_unit_econ[segment],tbl_unit_econ[cac])</f>
        <v>36336.505624752623</v>
      </c>
      <c r="G93" s="231"/>
    </row>
    <row r="94" spans="2:8" ht="15" customHeight="1" x14ac:dyDescent="0.35">
      <c r="B94" s="232" t="s">
        <v>148</v>
      </c>
      <c r="C94" s="261">
        <f>_xlfn.XLOOKUP("SMB",tbl_unit_econ[segment],tbl_unit_econ[cac_per_dollar_new_logo_arr])</f>
        <v>1.860651573885129</v>
      </c>
      <c r="D94" s="261">
        <f>_xlfn.XLOOKUP("Mid-Market",tbl_unit_econ[segment],tbl_unit_econ[cac_per_dollar_new_logo_arr])</f>
        <v>1.5452257211305209</v>
      </c>
      <c r="E94" s="261">
        <f>_xlfn.XLOOKUP("Enterprise",tbl_unit_econ[segment],tbl_unit_econ[cac_per_dollar_new_logo_arr])</f>
        <v>1.546407122351029</v>
      </c>
      <c r="F94" s="261">
        <f>_xlfn.XLOOKUP("Blended",tbl_unit_econ[segment],tbl_unit_econ[cac_per_dollar_new_logo_arr])</f>
        <v>1.6417429510784161</v>
      </c>
      <c r="G94" s="231"/>
    </row>
    <row r="95" spans="2:8" ht="15" customHeight="1" x14ac:dyDescent="0.35">
      <c r="B95" s="232" t="s">
        <v>149</v>
      </c>
      <c r="C95" s="235">
        <f>_xlfn.XLOOKUP("SMB",tbl_unit_econ[segment],tbl_unit_econ[gross_margin_pct])</f>
        <v>0.76406229984723906</v>
      </c>
      <c r="D95" s="235">
        <f>_xlfn.XLOOKUP("Mid-Market",tbl_unit_econ[segment],tbl_unit_econ[gross_margin_pct])</f>
        <v>0.76406229984723906</v>
      </c>
      <c r="E95" s="235">
        <f>_xlfn.XLOOKUP("Enterprise",tbl_unit_econ[segment],tbl_unit_econ[gross_margin_pct])</f>
        <v>0.76406229984723906</v>
      </c>
      <c r="F95" s="235">
        <f>_xlfn.XLOOKUP("Blended",tbl_unit_econ[segment],tbl_unit_econ[gross_margin_pct])</f>
        <v>0.76406229984723906</v>
      </c>
      <c r="G95" s="231"/>
    </row>
    <row r="96" spans="2:8" ht="15" customHeight="1" x14ac:dyDescent="0.35">
      <c r="B96" s="227" t="s">
        <v>150</v>
      </c>
      <c r="C96" s="262">
        <f>_xlfn.XLOOKUP("SMB",tbl_unit_econ[segment],tbl_unit_econ[cac_payback_months])</f>
        <v>28.228366472331281</v>
      </c>
      <c r="D96" s="262">
        <f>_xlfn.XLOOKUP("Mid-Market",tbl_unit_econ[segment],tbl_unit_econ[cac_payback_months])</f>
        <v>23.6555671360674</v>
      </c>
      <c r="E96" s="262">
        <f>_xlfn.XLOOKUP("Enterprise",tbl_unit_econ[segment],tbl_unit_econ[cac_payback_months])</f>
        <v>23.55023958508562</v>
      </c>
      <c r="F96" s="262">
        <f>_xlfn.XLOOKUP("Blended",tbl_unit_econ[segment],tbl_unit_econ[cac_payback_months])</f>
        <v>25.021238438249341</v>
      </c>
      <c r="G96" s="231"/>
    </row>
    <row r="97" spans="2:7" ht="15" customHeight="1" x14ac:dyDescent="0.35"/>
    <row r="98" spans="2:7" ht="15" customHeight="1" x14ac:dyDescent="0.35">
      <c r="B98" s="18" t="s">
        <v>151</v>
      </c>
      <c r="F98" s="61">
        <v>0.41171703134433979</v>
      </c>
    </row>
    <row r="99" spans="2:7" ht="15" customHeight="1" x14ac:dyDescent="0.35">
      <c r="B99" s="18" t="s">
        <v>152</v>
      </c>
      <c r="F99" s="62">
        <v>0.42716550278596999</v>
      </c>
    </row>
    <row r="100" spans="2:7" ht="15" customHeight="1" x14ac:dyDescent="0.35">
      <c r="B100" s="18" t="s">
        <v>153</v>
      </c>
      <c r="F100" s="62">
        <v>0.63969002065749714</v>
      </c>
    </row>
    <row r="101" spans="2:7" ht="28.15" customHeight="1" x14ac:dyDescent="0.35">
      <c r="B101" s="298" t="s">
        <v>154</v>
      </c>
      <c r="C101" s="298"/>
      <c r="D101" s="298"/>
      <c r="E101" s="298"/>
      <c r="F101" s="298"/>
      <c r="G101" s="298"/>
    </row>
    <row r="102" spans="2:7" ht="15" customHeight="1" x14ac:dyDescent="0.35"/>
    <row r="103" spans="2:7" ht="12" customHeight="1" x14ac:dyDescent="0.35">
      <c r="B103" s="39" t="s">
        <v>155</v>
      </c>
    </row>
    <row r="104" spans="2:7" ht="7" customHeight="1" x14ac:dyDescent="0.35"/>
  </sheetData>
  <mergeCells count="6">
    <mergeCell ref="B38:G38"/>
    <mergeCell ref="B101:G101"/>
    <mergeCell ref="B8:G8"/>
    <mergeCell ref="B42:G42"/>
    <mergeCell ref="B57:G57"/>
    <mergeCell ref="B73:G73"/>
  </mergeCells>
  <conditionalFormatting sqref="C36:F36">
    <cfRule type="cellIs" dxfId="20" priority="1" operator="lessThan">
      <formula>0</formula>
    </cfRule>
    <cfRule type="cellIs" dxfId="19" priority="2" operator="greaterThan">
      <formula>0</formula>
    </cfRule>
  </conditionalFormatting>
  <hyperlinks>
    <hyperlink ref="G1" location="'Model Guide'!A1" display="← Model Guide" xr:uid="{66CFA1F3-8C78-4876-9CB6-88254C95E072}"/>
  </hyperlinks>
  <pageMargins left="0.19444444444444445" right="0.19444444444444445" top="0.27777777777777779" bottom="0.27777777777777779" header="0.5" footer="0.5"/>
  <pageSetup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5E8C"/>
    <pageSetUpPr fitToPage="1"/>
  </sheetPr>
  <dimension ref="B1:Y58"/>
  <sheetViews>
    <sheetView showGridLines="0" zoomScaleNormal="10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46" customWidth="1"/>
    <col min="3" max="3" width="24.6328125" customWidth="1"/>
    <col min="4" max="5" width="18" customWidth="1"/>
    <col min="6" max="6" width="15" customWidth="1"/>
    <col min="7" max="7" width="13" customWidth="1"/>
    <col min="8" max="8" width="2" customWidth="1"/>
    <col min="9" max="17" width="10.453125" customWidth="1"/>
  </cols>
  <sheetData>
    <row r="1" spans="2:25" ht="24" customHeight="1" x14ac:dyDescent="0.35">
      <c r="B1" s="37" t="s">
        <v>0</v>
      </c>
      <c r="G1" s="147" t="s">
        <v>939</v>
      </c>
    </row>
    <row r="2" spans="2:25" ht="15" customHeight="1" x14ac:dyDescent="0.35">
      <c r="B2" s="38" t="s">
        <v>299</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6"/>
      <c r="I5" s="46"/>
      <c r="J5" s="46"/>
      <c r="K5" s="46"/>
      <c r="L5" s="46"/>
      <c r="M5" s="46"/>
      <c r="N5" s="46"/>
      <c r="O5" s="46"/>
      <c r="P5" s="46"/>
      <c r="Q5" s="46"/>
      <c r="R5" s="46"/>
      <c r="S5" s="46"/>
      <c r="T5" s="46"/>
      <c r="U5" s="46"/>
      <c r="V5" s="46"/>
      <c r="W5" s="46"/>
      <c r="X5" s="46"/>
      <c r="Y5" s="46"/>
    </row>
    <row r="6" spans="2:25" ht="7" customHeight="1" x14ac:dyDescent="0.35"/>
    <row r="7" spans="2:25" ht="28.15" customHeight="1" x14ac:dyDescent="0.35">
      <c r="B7" s="298" t="s">
        <v>300</v>
      </c>
      <c r="C7" s="298"/>
      <c r="D7" s="298"/>
      <c r="E7" s="298"/>
      <c r="F7" s="298"/>
      <c r="G7" s="298"/>
    </row>
    <row r="8" spans="2:25" ht="15" customHeight="1" x14ac:dyDescent="0.35"/>
    <row r="9" spans="2:25" ht="18" customHeight="1" thickBot="1" x14ac:dyDescent="0.4">
      <c r="B9" s="21" t="s">
        <v>301</v>
      </c>
      <c r="C9" s="41"/>
      <c r="D9" s="41"/>
      <c r="E9" s="41"/>
      <c r="F9" s="41"/>
      <c r="G9" s="41"/>
    </row>
    <row r="10" spans="2:25" ht="30" customHeight="1" x14ac:dyDescent="0.35">
      <c r="B10" s="296" t="s">
        <v>302</v>
      </c>
      <c r="C10" s="296"/>
      <c r="D10" s="296"/>
      <c r="E10" s="296"/>
      <c r="F10" s="296"/>
      <c r="G10" s="296"/>
      <c r="H10" s="117"/>
      <c r="I10" s="117"/>
    </row>
    <row r="11" spans="2:25" ht="7" customHeight="1" x14ac:dyDescent="0.35"/>
    <row r="12" spans="2:25" ht="28.15" customHeight="1" x14ac:dyDescent="0.35">
      <c r="B12" s="20" t="s">
        <v>303</v>
      </c>
      <c r="C12" s="42" t="s">
        <v>304</v>
      </c>
      <c r="D12" s="42" t="s">
        <v>305</v>
      </c>
      <c r="E12" s="42" t="s">
        <v>306</v>
      </c>
    </row>
    <row r="13" spans="2:25" ht="15" customHeight="1" x14ac:dyDescent="0.35">
      <c r="B13" s="18" t="s">
        <v>307</v>
      </c>
      <c r="C13" s="30">
        <f>_xlfn.XLOOKUP("No Incremental GTM Hiring",tbl_hiring[case_label],tbl_hiring[cumulative_hires])</f>
        <v>0</v>
      </c>
      <c r="D13" s="30">
        <f>_xlfn.XLOOKUP("Targeted / Runway-Constrained Hiring",tbl_hiring[case_label],tbl_hiring[cumulative_hires])</f>
        <v>0</v>
      </c>
      <c r="E13" s="30">
        <f>_xlfn.XLOOKUP("Full Capacity-Close Hiring",tbl_hiring[case_label],tbl_hiring[cumulative_hires])</f>
        <v>4</v>
      </c>
    </row>
    <row r="14" spans="2:25" ht="15" customHeight="1" x14ac:dyDescent="0.35">
      <c r="B14" s="18" t="s">
        <v>284</v>
      </c>
      <c r="C14" s="55">
        <f>_xlfn.XLOOKUP("No Incremental GTM Hiring",tbl_hiring[case_label],tbl_hiring[policy_avg_monthly_burn])</f>
        <v>850000</v>
      </c>
      <c r="D14" s="55">
        <f>_xlfn.XLOOKUP("Targeted / Runway-Constrained Hiring",tbl_hiring[case_label],tbl_hiring[policy_avg_monthly_burn])</f>
        <v>850000</v>
      </c>
      <c r="E14" s="55">
        <f>_xlfn.XLOOKUP("Full Capacity-Close Hiring",tbl_hiring[case_label],tbl_hiring[policy_avg_monthly_burn])</f>
        <v>883984.71246609325</v>
      </c>
    </row>
    <row r="15" spans="2:25" ht="15" customHeight="1" x14ac:dyDescent="0.35">
      <c r="B15" s="34" t="s">
        <v>285</v>
      </c>
      <c r="C15" s="60">
        <f>_xlfn.XLOOKUP("No Incremental GTM Hiring",tbl_hiring[case_label],tbl_hiring[policy_runway_months])</f>
        <v>25.647058823529409</v>
      </c>
      <c r="D15" s="60">
        <f>_xlfn.XLOOKUP("Targeted / Runway-Constrained Hiring",tbl_hiring[case_label],tbl_hiring[policy_runway_months])</f>
        <v>25.647058823529409</v>
      </c>
      <c r="E15" s="60">
        <f>_xlfn.XLOOKUP("Full Capacity-Close Hiring",tbl_hiring[case_label],tbl_hiring[policy_runway_months])</f>
        <v>24.661059962432521</v>
      </c>
    </row>
    <row r="16" spans="2:25" ht="15" customHeight="1" x14ac:dyDescent="0.35">
      <c r="B16" s="18" t="s">
        <v>308</v>
      </c>
      <c r="C16" s="102">
        <f>_xlfn.XLOOKUP("No Incremental GTM Hiring",tbl_hiring[case_label],tbl_hiring[board_runway_floor_months])</f>
        <v>24</v>
      </c>
      <c r="D16" s="102">
        <f>_xlfn.XLOOKUP("Targeted / Runway-Constrained Hiring",tbl_hiring[case_label],tbl_hiring[board_runway_floor_months])</f>
        <v>24</v>
      </c>
      <c r="E16" s="102">
        <f>_xlfn.XLOOKUP("Full Capacity-Close Hiring",tbl_hiring[case_label],tbl_hiring[board_runway_floor_months])</f>
        <v>24</v>
      </c>
    </row>
    <row r="17" spans="2:9" ht="15" customHeight="1" x14ac:dyDescent="0.35">
      <c r="B17" s="34" t="s">
        <v>309</v>
      </c>
      <c r="C17" s="35">
        <f>_xlfn.XLOOKUP("No Incremental GTM Hiring",tbl_hiring[case_label],tbl_hiring[headroom_months])</f>
        <v>1.647058823529413</v>
      </c>
      <c r="D17" s="35">
        <f>_xlfn.XLOOKUP("Targeted / Runway-Constrained Hiring",tbl_hiring[case_label],tbl_hiring[headroom_months])</f>
        <v>1.647058823529413</v>
      </c>
      <c r="E17" s="35">
        <f>_xlfn.XLOOKUP("Full Capacity-Close Hiring",tbl_hiring[case_label],tbl_hiring[headroom_months])</f>
        <v>0.66105996243252463</v>
      </c>
    </row>
    <row r="18" spans="2:9" ht="15" customHeight="1" x14ac:dyDescent="0.35">
      <c r="B18" s="18" t="s">
        <v>310</v>
      </c>
      <c r="C18" s="27" t="str">
        <f>_xlfn.XLOOKUP("No Incremental GTM Hiring",tbl_hiring[case_label],tbl_hiring[breaches_floor_flag])</f>
        <v>No</v>
      </c>
      <c r="D18" s="27" t="str">
        <f>_xlfn.XLOOKUP("Targeted / Runway-Constrained Hiring",tbl_hiring[case_label],tbl_hiring[breaches_floor_flag])</f>
        <v>No</v>
      </c>
      <c r="E18" s="27" t="str">
        <f>_xlfn.XLOOKUP("Full Capacity-Close Hiring",tbl_hiring[case_label],tbl_hiring[breaches_floor_flag])</f>
        <v>No</v>
      </c>
    </row>
    <row r="19" spans="2:9" ht="15" customHeight="1" x14ac:dyDescent="0.35"/>
    <row r="20" spans="2:9" ht="12" customHeight="1" x14ac:dyDescent="0.35">
      <c r="B20" s="39" t="s">
        <v>311</v>
      </c>
    </row>
    <row r="21" spans="2:9" ht="7" customHeight="1" x14ac:dyDescent="0.35"/>
    <row r="22" spans="2:9" ht="15" customHeight="1" x14ac:dyDescent="0.35"/>
    <row r="23" spans="2:9" ht="18" customHeight="1" thickBot="1" x14ac:dyDescent="0.4">
      <c r="B23" s="21" t="s">
        <v>312</v>
      </c>
      <c r="C23" s="41"/>
      <c r="D23" s="41"/>
      <c r="E23" s="41"/>
      <c r="F23" s="41"/>
      <c r="G23" s="41"/>
    </row>
    <row r="24" spans="2:9" ht="30" customHeight="1" x14ac:dyDescent="0.35">
      <c r="B24" s="296" t="s">
        <v>313</v>
      </c>
      <c r="C24" s="296"/>
      <c r="D24" s="296"/>
      <c r="E24" s="296"/>
      <c r="F24" s="296"/>
      <c r="G24" s="296"/>
      <c r="H24" s="117"/>
      <c r="I24" s="117"/>
    </row>
    <row r="25" spans="2:9" ht="15" customHeight="1" x14ac:dyDescent="0.35">
      <c r="B25" s="117"/>
      <c r="C25" s="117"/>
      <c r="D25" s="117"/>
      <c r="E25" s="117"/>
      <c r="F25" s="117"/>
      <c r="G25" s="117"/>
    </row>
    <row r="26" spans="2:9" ht="15" customHeight="1" x14ac:dyDescent="0.35">
      <c r="B26" s="117"/>
      <c r="C26" s="117"/>
      <c r="D26" s="117"/>
      <c r="E26" s="117"/>
      <c r="F26" s="117"/>
      <c r="G26" s="117"/>
    </row>
    <row r="27" spans="2:9" ht="15" customHeight="1" x14ac:dyDescent="0.35">
      <c r="B27" s="117"/>
      <c r="C27" s="117"/>
      <c r="D27" s="117"/>
      <c r="E27" s="117"/>
      <c r="F27" s="117"/>
      <c r="G27" s="117"/>
    </row>
    <row r="28" spans="2:9" ht="15" customHeight="1" x14ac:dyDescent="0.35">
      <c r="B28" s="117"/>
      <c r="C28" s="117"/>
      <c r="D28" s="117"/>
      <c r="E28" s="117"/>
      <c r="F28" s="117"/>
      <c r="G28" s="117"/>
    </row>
    <row r="29" spans="2:9" ht="15" customHeight="1" x14ac:dyDescent="0.35">
      <c r="B29" s="117"/>
      <c r="C29" s="117"/>
      <c r="D29" s="117"/>
      <c r="E29" s="117"/>
      <c r="F29" s="117"/>
      <c r="G29" s="117"/>
    </row>
    <row r="30" spans="2:9" ht="15" customHeight="1" x14ac:dyDescent="0.35">
      <c r="B30" s="117"/>
      <c r="C30" s="117"/>
      <c r="D30" s="117"/>
      <c r="E30" s="117"/>
      <c r="F30" s="117"/>
      <c r="G30" s="117"/>
    </row>
    <row r="31" spans="2:9" ht="15" customHeight="1" x14ac:dyDescent="0.35">
      <c r="B31" s="117"/>
      <c r="C31" s="117"/>
      <c r="D31" s="117"/>
      <c r="E31" s="117"/>
      <c r="F31" s="117"/>
      <c r="G31" s="117"/>
    </row>
    <row r="32" spans="2:9" ht="15" customHeight="1" x14ac:dyDescent="0.35">
      <c r="B32" s="117"/>
      <c r="C32" s="117"/>
      <c r="D32" s="117"/>
      <c r="E32" s="117"/>
      <c r="F32" s="117"/>
      <c r="G32" s="117"/>
    </row>
    <row r="33" spans="2:9" ht="15" customHeight="1" x14ac:dyDescent="0.35">
      <c r="B33" s="117"/>
      <c r="C33" s="117"/>
      <c r="D33" s="117"/>
      <c r="E33" s="117"/>
      <c r="F33" s="117"/>
      <c r="G33" s="117"/>
    </row>
    <row r="34" spans="2:9" ht="15" customHeight="1" x14ac:dyDescent="0.35">
      <c r="B34" s="117"/>
      <c r="C34" s="117"/>
      <c r="D34" s="117"/>
      <c r="E34" s="117"/>
      <c r="F34" s="117"/>
      <c r="G34" s="117"/>
    </row>
    <row r="35" spans="2:9" ht="15" customHeight="1" x14ac:dyDescent="0.35">
      <c r="B35" s="117"/>
      <c r="C35" s="117"/>
      <c r="D35" s="117"/>
      <c r="E35" s="117"/>
      <c r="F35" s="117"/>
      <c r="G35" s="117"/>
    </row>
    <row r="36" spans="2:9" ht="15" customHeight="1" x14ac:dyDescent="0.35">
      <c r="B36" s="117"/>
      <c r="C36" s="117"/>
      <c r="D36" s="117"/>
      <c r="E36" s="117"/>
      <c r="F36" s="117"/>
      <c r="G36" s="117"/>
    </row>
    <row r="37" spans="2:9" ht="15" customHeight="1" x14ac:dyDescent="0.35">
      <c r="B37" s="117"/>
      <c r="C37" s="117"/>
      <c r="D37" s="117"/>
      <c r="E37" s="117"/>
      <c r="F37" s="117"/>
      <c r="G37" s="117"/>
    </row>
    <row r="38" spans="2:9" ht="15" customHeight="1" x14ac:dyDescent="0.35">
      <c r="B38" s="117"/>
      <c r="C38" s="117"/>
      <c r="D38" s="117"/>
      <c r="E38" s="117"/>
      <c r="F38" s="117"/>
      <c r="G38" s="117"/>
    </row>
    <row r="39" spans="2:9" ht="15" customHeight="1" x14ac:dyDescent="0.35">
      <c r="B39" s="117"/>
      <c r="C39" s="117"/>
      <c r="D39" s="117"/>
      <c r="E39" s="117"/>
      <c r="F39" s="117"/>
      <c r="G39" s="117"/>
    </row>
    <row r="40" spans="2:9" ht="15" customHeight="1" x14ac:dyDescent="0.35">
      <c r="B40" s="117"/>
      <c r="C40" s="117"/>
      <c r="D40" s="117"/>
      <c r="E40" s="117"/>
      <c r="F40" s="117"/>
      <c r="G40" s="117"/>
    </row>
    <row r="41" spans="2:9" ht="7" customHeight="1" x14ac:dyDescent="0.35"/>
    <row r="42" spans="2:9" ht="28.15" customHeight="1" x14ac:dyDescent="0.35">
      <c r="B42" s="215" t="s">
        <v>303</v>
      </c>
      <c r="C42" s="216" t="s">
        <v>304</v>
      </c>
      <c r="D42" s="216" t="s">
        <v>305</v>
      </c>
      <c r="E42" s="216" t="s">
        <v>306</v>
      </c>
      <c r="F42" s="226"/>
      <c r="G42" s="226"/>
    </row>
    <row r="43" spans="2:9" ht="15" customHeight="1" x14ac:dyDescent="0.35">
      <c r="B43" s="227" t="s">
        <v>314</v>
      </c>
      <c r="C43" s="263">
        <f>_xlfn.XLOOKUP("No Incremental GTM Hiring",tbl_hiring[case_label],tbl_hiring[dec_2027_incremental_arr])</f>
        <v>0</v>
      </c>
      <c r="D43" s="263">
        <f>_xlfn.XLOOKUP("Targeted / Runway-Constrained Hiring",tbl_hiring[case_label],tbl_hiring[dec_2027_incremental_arr])</f>
        <v>0</v>
      </c>
      <c r="E43" s="263">
        <f>_xlfn.XLOOKUP("Full Capacity-Close Hiring",tbl_hiring[case_label],tbl_hiring[dec_2027_incremental_arr])</f>
        <v>147322.040569365</v>
      </c>
      <c r="F43" s="231"/>
      <c r="G43" s="231"/>
    </row>
    <row r="44" spans="2:9" ht="15" customHeight="1" x14ac:dyDescent="0.35">
      <c r="B44" s="227" t="s">
        <v>315</v>
      </c>
      <c r="C44" s="263">
        <f>_xlfn.XLOOKUP("No Incremental GTM Hiring",tbl_hiring[case_label],tbl_hiring[dec_2027_incremental_cash])</f>
        <v>0</v>
      </c>
      <c r="D44" s="263">
        <f>_xlfn.XLOOKUP("Targeted / Runway-Constrained Hiring",tbl_hiring[case_label],tbl_hiring[dec_2027_incremental_cash])</f>
        <v>0</v>
      </c>
      <c r="E44" s="263">
        <f>_xlfn.XLOOKUP("Full Capacity-Close Hiring",tbl_hiring[case_label],tbl_hiring[dec_2027_incremental_cash])</f>
        <v>-637083.11137513816</v>
      </c>
      <c r="F44" s="231"/>
      <c r="G44" s="231"/>
    </row>
    <row r="45" spans="2:9" ht="15" customHeight="1" x14ac:dyDescent="0.35">
      <c r="B45" s="227" t="s">
        <v>316</v>
      </c>
      <c r="C45" s="263">
        <f>_xlfn.XLOOKUP("No Incremental GTM Hiring",tbl_hiring[case_label],tbl_hiring[dec_2027_incremental_operating_income])</f>
        <v>0</v>
      </c>
      <c r="D45" s="263">
        <f>_xlfn.XLOOKUP("Targeted / Runway-Constrained Hiring",tbl_hiring[case_label],tbl_hiring[dec_2027_incremental_operating_income])</f>
        <v>0</v>
      </c>
      <c r="E45" s="263">
        <f>_xlfn.XLOOKUP("Full Capacity-Close Hiring",tbl_hiring[case_label],tbl_hiring[dec_2027_incremental_operating_income])</f>
        <v>-31366.641829413358</v>
      </c>
      <c r="F45" s="231"/>
      <c r="G45" s="231"/>
    </row>
    <row r="46" spans="2:9" ht="12" customHeight="1" x14ac:dyDescent="0.35">
      <c r="B46" s="232" t="s">
        <v>317</v>
      </c>
      <c r="C46" s="255">
        <f>_xlfn.XLOOKUP("No Incremental GTM Hiring",tbl_hiring[case_label],tbl_hiring[h2_2026_new_logo_capacity])</f>
        <v>2920858.7822501608</v>
      </c>
      <c r="D46" s="255">
        <f>_xlfn.XLOOKUP("Targeted / Runway-Constrained Hiring",tbl_hiring[case_label],tbl_hiring[h2_2026_new_logo_capacity])</f>
        <v>2920858.7822501608</v>
      </c>
      <c r="E46" s="255">
        <f>_xlfn.XLOOKUP("Full Capacity-Close Hiring",tbl_hiring[case_label],tbl_hiring[h2_2026_new_logo_capacity])</f>
        <v>2996583.27052319</v>
      </c>
      <c r="F46" s="231"/>
      <c r="G46" s="231"/>
      <c r="I46" s="22" t="s">
        <v>318</v>
      </c>
    </row>
    <row r="47" spans="2:9" ht="15" customHeight="1" x14ac:dyDescent="0.35">
      <c r="B47" s="232" t="s">
        <v>319</v>
      </c>
      <c r="C47" s="257" t="str">
        <f>_xlfn.XLOOKUP("No Incremental GTM Hiring",tbl_hiring[case_label],tbl_hiring[primary_binding_constraint])</f>
        <v>Pipeline</v>
      </c>
      <c r="D47" s="257" t="str">
        <f>_xlfn.XLOOKUP("Targeted / Runway-Constrained Hiring",tbl_hiring[case_label],tbl_hiring[primary_binding_constraint])</f>
        <v>Pipeline</v>
      </c>
      <c r="E47" s="257" t="str">
        <f>_xlfn.XLOOKUP("Full Capacity-Close Hiring",tbl_hiring[case_label],tbl_hiring[primary_binding_constraint])</f>
        <v>Pipeline</v>
      </c>
      <c r="F47" s="231"/>
      <c r="G47" s="231"/>
    </row>
    <row r="48" spans="2:9" ht="15" customHeight="1" x14ac:dyDescent="0.35">
      <c r="B48" s="227" t="s">
        <v>23</v>
      </c>
      <c r="C48" s="267" t="str">
        <f>IFERROR(_xlfn.XLOOKUP("No Incremental GTM Hiring",tbl_hiring[case_label],tbl_hiring[dec_2027_incremental_arr])/-_xlfn.XLOOKUP("No Incremental GTM Hiring",tbl_hiring[case_label],tbl_hiring[dec_2027_incremental_cash]),"n/a")</f>
        <v>n/a</v>
      </c>
      <c r="D48" s="267" t="str">
        <f>IFERROR(_xlfn.XLOOKUP("Targeted / Runway-Constrained Hiring",tbl_hiring[case_label],tbl_hiring[dec_2027_incremental_arr])/-_xlfn.XLOOKUP("Targeted / Runway-Constrained Hiring",tbl_hiring[case_label],tbl_hiring[dec_2027_incremental_cash]),"n/a")</f>
        <v>n/a</v>
      </c>
      <c r="E48" s="264">
        <f>IFERROR(_xlfn.XLOOKUP("Full Capacity-Close Hiring",tbl_hiring[case_label],tbl_hiring[dec_2027_incremental_arr])/-_xlfn.XLOOKUP("Full Capacity-Close Hiring",tbl_hiring[case_label],tbl_hiring[dec_2027_incremental_cash]),"n/a")</f>
        <v>0.23124461775697003</v>
      </c>
      <c r="F48" s="231"/>
      <c r="G48" s="231"/>
    </row>
    <row r="49" spans="2:7" ht="15" customHeight="1" x14ac:dyDescent="0.35"/>
    <row r="50" spans="2:7" ht="18" customHeight="1" thickBot="1" x14ac:dyDescent="0.4">
      <c r="B50" s="21" t="s">
        <v>320</v>
      </c>
      <c r="C50" s="41"/>
      <c r="D50" s="41"/>
      <c r="E50" s="41"/>
      <c r="F50" s="136"/>
      <c r="G50" s="136"/>
    </row>
    <row r="51" spans="2:7" ht="7" customHeight="1" x14ac:dyDescent="0.35"/>
    <row r="52" spans="2:7" ht="28.15" customHeight="1" x14ac:dyDescent="0.35">
      <c r="B52" s="20" t="s">
        <v>303</v>
      </c>
      <c r="C52" s="42" t="s">
        <v>304</v>
      </c>
      <c r="D52" s="42" t="s">
        <v>305</v>
      </c>
      <c r="E52" s="42" t="s">
        <v>306</v>
      </c>
    </row>
    <row r="53" spans="2:7" ht="15" customHeight="1" x14ac:dyDescent="0.35">
      <c r="B53" s="18" t="s">
        <v>321</v>
      </c>
      <c r="C53" s="19">
        <f>_xlfn.XLOOKUP("No Incremental GTM Hiring",tbl_hiring[case_label],tbl_hiring[dec_2026_incremental_arr])</f>
        <v>0</v>
      </c>
      <c r="D53" s="19">
        <f>_xlfn.XLOOKUP("Targeted / Runway-Constrained Hiring",tbl_hiring[case_label],tbl_hiring[dec_2026_incremental_arr])</f>
        <v>0</v>
      </c>
      <c r="E53" s="19">
        <f>_xlfn.XLOOKUP("Full Capacity-Close Hiring",tbl_hiring[case_label],tbl_hiring[dec_2026_incremental_arr])</f>
        <v>466.8747128918767</v>
      </c>
    </row>
    <row r="54" spans="2:7" ht="15" customHeight="1" x14ac:dyDescent="0.35">
      <c r="B54" s="18" t="s">
        <v>322</v>
      </c>
      <c r="C54" s="19">
        <f>_xlfn.XLOOKUP("No Incremental GTM Hiring",tbl_hiring[case_label],tbl_hiring[dec_2026_incremental_cash])</f>
        <v>0</v>
      </c>
      <c r="D54" s="19">
        <f>_xlfn.XLOOKUP("Targeted / Runway-Constrained Hiring",tbl_hiring[case_label],tbl_hiring[dec_2026_incremental_cash])</f>
        <v>0</v>
      </c>
      <c r="E54" s="19">
        <f>_xlfn.XLOOKUP("Full Capacity-Close Hiring",tbl_hiring[case_label],tbl_hiring[dec_2026_incremental_cash])</f>
        <v>-139065.21637033299</v>
      </c>
    </row>
    <row r="55" spans="2:7" ht="15" customHeight="1" x14ac:dyDescent="0.35"/>
    <row r="56" spans="2:7" ht="12" customHeight="1" x14ac:dyDescent="0.35">
      <c r="B56" s="39" t="s">
        <v>323</v>
      </c>
    </row>
    <row r="57" spans="2:7" ht="7" customHeight="1" x14ac:dyDescent="0.35"/>
    <row r="58" spans="2:7" ht="15" customHeight="1" x14ac:dyDescent="0.35"/>
  </sheetData>
  <mergeCells count="3">
    <mergeCell ref="B7:G7"/>
    <mergeCell ref="B10:G10"/>
    <mergeCell ref="B24:G24"/>
  </mergeCells>
  <conditionalFormatting sqref="C17:E17">
    <cfRule type="cellIs" dxfId="18" priority="1" operator="lessThan">
      <formula>0</formula>
    </cfRule>
    <cfRule type="cellIs" dxfId="17" priority="2" operator="greaterThan">
      <formula>0</formula>
    </cfRule>
  </conditionalFormatting>
  <conditionalFormatting sqref="C43:E45">
    <cfRule type="cellIs" dxfId="16" priority="3" operator="lessThan">
      <formula>0</formula>
    </cfRule>
    <cfRule type="cellIs" dxfId="15" priority="4" operator="greaterThan">
      <formula>0</formula>
    </cfRule>
  </conditionalFormatting>
  <hyperlinks>
    <hyperlink ref="G1" location="'Model Guide'!A1" display="← Model Guide" xr:uid="{7E2CC0BE-94E0-4513-B5FA-4208AC6DAA30}"/>
  </hyperlinks>
  <pageMargins left="0.19444444444444445" right="0.19444444444444445" top="0.27777777777777779" bottom="0.27777777777777779" header="0.5" footer="0.5"/>
  <pageSetup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5E8C"/>
    <pageSetUpPr fitToPage="1"/>
  </sheetPr>
  <dimension ref="B1:X41"/>
  <sheetViews>
    <sheetView showGridLines="0" zoomScale="85" zoomScaleNormal="85" workbookViewId="0">
      <pane xSplit="2" ySplit="8" topLeftCell="C9" activePane="bottomRight" state="frozen"/>
      <selection pane="topRight" activeCell="D1" sqref="D1"/>
      <selection pane="bottomLeft" activeCell="A9" sqref="A9"/>
      <selection pane="bottomRight"/>
    </sheetView>
  </sheetViews>
  <sheetFormatPr defaultRowHeight="14" customHeight="1" x14ac:dyDescent="0.35"/>
  <cols>
    <col min="1" max="1" width="1.81640625" customWidth="1"/>
    <col min="2" max="2" width="30.6328125" customWidth="1"/>
    <col min="3" max="14" width="10.453125" customWidth="1"/>
    <col min="15" max="15" width="12.453125" customWidth="1"/>
  </cols>
  <sheetData>
    <row r="1" spans="2:24" ht="24" customHeight="1" x14ac:dyDescent="0.35">
      <c r="B1" s="37" t="s">
        <v>0</v>
      </c>
      <c r="O1" s="147" t="s">
        <v>939</v>
      </c>
    </row>
    <row r="2" spans="2:24" ht="15" customHeight="1" x14ac:dyDescent="0.35">
      <c r="B2" s="38" t="s">
        <v>156</v>
      </c>
    </row>
    <row r="3" spans="2:24" ht="12" customHeight="1" x14ac:dyDescent="0.35">
      <c r="B3" s="39" t="s">
        <v>2</v>
      </c>
    </row>
    <row r="4" spans="2:24" ht="12" customHeight="1" x14ac:dyDescent="0.35">
      <c r="B4" s="39" t="s">
        <v>897</v>
      </c>
    </row>
    <row r="5" spans="2:24" ht="7" customHeight="1" x14ac:dyDescent="0.35">
      <c r="B5" s="40"/>
      <c r="C5" s="40"/>
      <c r="D5" s="40"/>
      <c r="E5" s="40"/>
      <c r="F5" s="40"/>
      <c r="G5" s="40"/>
      <c r="H5" s="40"/>
      <c r="I5" s="40"/>
      <c r="J5" s="40"/>
      <c r="K5" s="40"/>
      <c r="L5" s="40"/>
      <c r="M5" s="40"/>
      <c r="N5" s="40"/>
      <c r="O5" s="40"/>
      <c r="P5" s="46"/>
      <c r="Q5" s="46"/>
      <c r="R5" s="46"/>
      <c r="S5" s="46"/>
      <c r="T5" s="46"/>
      <c r="U5" s="46"/>
      <c r="V5" s="46"/>
      <c r="W5" s="46"/>
      <c r="X5" s="46"/>
    </row>
    <row r="6" spans="2:24" ht="7" customHeight="1" x14ac:dyDescent="0.35"/>
    <row r="7" spans="2:24" ht="12" customHeight="1" x14ac:dyDescent="0.35">
      <c r="C7" s="71" t="s">
        <v>157</v>
      </c>
      <c r="D7" s="72"/>
      <c r="E7" s="72"/>
      <c r="F7" s="72"/>
      <c r="G7" s="72"/>
      <c r="H7" s="72"/>
      <c r="I7" s="73" t="s">
        <v>158</v>
      </c>
      <c r="J7" s="74"/>
      <c r="K7" s="74"/>
      <c r="L7" s="74"/>
      <c r="M7" s="74"/>
      <c r="N7" s="74"/>
      <c r="O7" s="75" t="s">
        <v>159</v>
      </c>
    </row>
    <row r="8" spans="2:24" ht="15" customHeight="1" x14ac:dyDescent="0.35">
      <c r="B8" s="45" t="s">
        <v>1143</v>
      </c>
      <c r="C8" s="76" t="s">
        <v>53</v>
      </c>
      <c r="D8" s="76" t="s">
        <v>54</v>
      </c>
      <c r="E8" s="76" t="s">
        <v>55</v>
      </c>
      <c r="F8" s="76" t="s">
        <v>56</v>
      </c>
      <c r="G8" s="76" t="s">
        <v>57</v>
      </c>
      <c r="H8" s="76" t="s">
        <v>58</v>
      </c>
      <c r="I8" s="76" t="s">
        <v>59</v>
      </c>
      <c r="J8" s="76" t="s">
        <v>61</v>
      </c>
      <c r="K8" s="76" t="s">
        <v>63</v>
      </c>
      <c r="L8" s="76" t="s">
        <v>64</v>
      </c>
      <c r="M8" s="76" t="s">
        <v>65</v>
      </c>
      <c r="N8" s="76" t="s">
        <v>66</v>
      </c>
      <c r="O8" s="126" t="s">
        <v>159</v>
      </c>
    </row>
    <row r="9" spans="2:24" ht="15" customHeight="1" x14ac:dyDescent="0.35">
      <c r="B9" s="148" t="s">
        <v>161</v>
      </c>
      <c r="C9" s="149"/>
      <c r="D9" s="149"/>
      <c r="E9" s="149"/>
      <c r="F9" s="149"/>
      <c r="G9" s="149"/>
      <c r="H9" s="149"/>
      <c r="I9" s="149"/>
      <c r="J9" s="149"/>
      <c r="K9" s="149"/>
      <c r="L9" s="149"/>
      <c r="M9" s="149"/>
      <c r="N9" s="149"/>
      <c r="O9" s="150"/>
    </row>
    <row r="10" spans="2:24" ht="15" customHeight="1" x14ac:dyDescent="0.35">
      <c r="B10" s="18" t="s">
        <v>33</v>
      </c>
      <c r="C10" s="122">
        <v>30189315.84</v>
      </c>
      <c r="D10" s="122">
        <v>30180849.359999999</v>
      </c>
      <c r="E10" s="122">
        <v>30578224.920000002</v>
      </c>
      <c r="F10" s="122">
        <v>30837429.359999999</v>
      </c>
      <c r="G10" s="122">
        <v>31447353.84</v>
      </c>
      <c r="H10" s="122">
        <v>32493210.359999999</v>
      </c>
      <c r="I10" s="64">
        <f>'Forecast Drivers'!D76</f>
        <v>33016720.32</v>
      </c>
      <c r="J10" s="64">
        <f>'Forecast Drivers'!E76</f>
        <v>33671666.720317781</v>
      </c>
      <c r="K10" s="64">
        <f>'Forecast Drivers'!F76</f>
        <v>33985619.409044512</v>
      </c>
      <c r="L10" s="64">
        <f>'Forecast Drivers'!G76</f>
        <v>34227398.188384533</v>
      </c>
      <c r="M10" s="64">
        <f>'Forecast Drivers'!H76</f>
        <v>34388015.770121619</v>
      </c>
      <c r="N10" s="64">
        <f>'Forecast Drivers'!I76</f>
        <v>34776456.209347919</v>
      </c>
      <c r="O10" s="127">
        <f>C10</f>
        <v>30189315.84</v>
      </c>
    </row>
    <row r="11" spans="2:24" ht="15" customHeight="1" x14ac:dyDescent="0.35">
      <c r="B11" s="65" t="s">
        <v>34</v>
      </c>
      <c r="C11" s="122">
        <v>267424.44</v>
      </c>
      <c r="D11" s="122">
        <v>347874.72</v>
      </c>
      <c r="E11" s="122">
        <v>452642.28</v>
      </c>
      <c r="F11" s="122">
        <v>134448.48000000001</v>
      </c>
      <c r="G11" s="122">
        <v>170863.2</v>
      </c>
      <c r="H11" s="122">
        <v>650292.36</v>
      </c>
      <c r="I11" s="64">
        <f>'Forecast Drivers'!D77</f>
        <v>379723.84316577658</v>
      </c>
      <c r="J11" s="64">
        <f>'Forecast Drivers'!E77</f>
        <v>78926.912128142969</v>
      </c>
      <c r="K11" s="64">
        <f>'Forecast Drivers'!F77</f>
        <v>10415.98618357488</v>
      </c>
      <c r="L11" s="64">
        <f>'Forecast Drivers'!G77</f>
        <v>11305.866570048311</v>
      </c>
      <c r="M11" s="64">
        <f>'Forecast Drivers'!H77</f>
        <v>350964.27540200192</v>
      </c>
      <c r="N11" s="64">
        <f>'Forecast Drivers'!I77</f>
        <v>351431.15011490264</v>
      </c>
      <c r="O11" s="127">
        <f>SUM(C11:N11)</f>
        <v>3206313.5135644479</v>
      </c>
    </row>
    <row r="12" spans="2:24" ht="15" customHeight="1" x14ac:dyDescent="0.35">
      <c r="B12" s="65" t="s">
        <v>35</v>
      </c>
      <c r="C12" s="122">
        <v>361621.20000000013</v>
      </c>
      <c r="D12" s="122">
        <v>303632.88</v>
      </c>
      <c r="E12" s="122">
        <v>237688.44</v>
      </c>
      <c r="F12" s="122">
        <v>820157.04</v>
      </c>
      <c r="G12" s="122">
        <v>1119731.3999999999</v>
      </c>
      <c r="H12" s="122">
        <v>510603.96</v>
      </c>
      <c r="I12" s="64">
        <f>'Forecast Drivers'!D78</f>
        <v>514111.27215857373</v>
      </c>
      <c r="J12" s="64">
        <f>'Forecast Drivers'!E78</f>
        <v>514111.27215857373</v>
      </c>
      <c r="K12" s="64">
        <f>'Forecast Drivers'!F78</f>
        <v>514111.27215857373</v>
      </c>
      <c r="L12" s="64">
        <f>'Forecast Drivers'!G78</f>
        <v>514111.27215857373</v>
      </c>
      <c r="M12" s="64">
        <f>'Forecast Drivers'!H78</f>
        <v>514111.27215857373</v>
      </c>
      <c r="N12" s="64">
        <f>'Forecast Drivers'!I78</f>
        <v>514111.27215857373</v>
      </c>
      <c r="O12" s="127">
        <f>SUM(C12:N12)</f>
        <v>6438102.5529514411</v>
      </c>
    </row>
    <row r="13" spans="2:24" ht="15" customHeight="1" x14ac:dyDescent="0.35">
      <c r="B13" s="65" t="s">
        <v>36</v>
      </c>
      <c r="C13" s="122">
        <v>3132</v>
      </c>
      <c r="D13" s="122">
        <v>10064.52</v>
      </c>
      <c r="E13" s="122">
        <v>7982.76</v>
      </c>
      <c r="F13" s="122">
        <v>3643.2</v>
      </c>
      <c r="G13" s="122">
        <v>14374.56</v>
      </c>
      <c r="H13" s="122">
        <v>20643.240000000002</v>
      </c>
      <c r="I13" s="64">
        <f>'Forecast Drivers'!D79</f>
        <v>8534.9</v>
      </c>
      <c r="J13" s="64">
        <f>'Forecast Drivers'!E79</f>
        <v>8534.9</v>
      </c>
      <c r="K13" s="64">
        <f>'Forecast Drivers'!F79</f>
        <v>8534.9</v>
      </c>
      <c r="L13" s="64">
        <f>'Forecast Drivers'!G79</f>
        <v>8534.9</v>
      </c>
      <c r="M13" s="64">
        <f>'Forecast Drivers'!H79</f>
        <v>8534.9</v>
      </c>
      <c r="N13" s="64">
        <f>'Forecast Drivers'!I79</f>
        <v>8534.9</v>
      </c>
      <c r="O13" s="127">
        <f>SUM(C13:N13)</f>
        <v>111049.67999999996</v>
      </c>
    </row>
    <row r="14" spans="2:24" ht="15" customHeight="1" x14ac:dyDescent="0.35">
      <c r="B14" s="65" t="s">
        <v>37</v>
      </c>
      <c r="C14" s="122">
        <v>-451736.88</v>
      </c>
      <c r="D14" s="122">
        <v>-150335.16</v>
      </c>
      <c r="E14" s="122">
        <v>-205926.12</v>
      </c>
      <c r="F14" s="122">
        <v>-61498.8</v>
      </c>
      <c r="G14" s="122">
        <v>-139362.12</v>
      </c>
      <c r="H14" s="122">
        <v>-95907.839999999997</v>
      </c>
      <c r="I14" s="64">
        <f>'Forecast Drivers'!D80</f>
        <v>-86848.288651548413</v>
      </c>
      <c r="J14" s="64">
        <f>'Forecast Drivers'!E80</f>
        <v>-99397.3496038679</v>
      </c>
      <c r="K14" s="64">
        <f>'Forecast Drivers'!F80</f>
        <v>-102725.15900228241</v>
      </c>
      <c r="L14" s="64">
        <f>'Forecast Drivers'!G80</f>
        <v>-140395.94148762702</v>
      </c>
      <c r="M14" s="64">
        <f>'Forecast Drivers'!H80</f>
        <v>-183611.10877066088</v>
      </c>
      <c r="N14" s="64">
        <f>'Forecast Drivers'!I80</f>
        <v>-351650.54688320425</v>
      </c>
      <c r="O14" s="127">
        <f>SUM(C14:N14)</f>
        <v>-2069395.3143991909</v>
      </c>
    </row>
    <row r="15" spans="2:24" ht="15" customHeight="1" x14ac:dyDescent="0.35">
      <c r="B15" s="65" t="s">
        <v>38</v>
      </c>
      <c r="C15" s="122">
        <v>-188907.24</v>
      </c>
      <c r="D15" s="122">
        <v>-113861.4</v>
      </c>
      <c r="E15" s="122">
        <v>-233182.92</v>
      </c>
      <c r="F15" s="122">
        <v>-286825.44</v>
      </c>
      <c r="G15" s="122">
        <v>-119750.52</v>
      </c>
      <c r="H15" s="122">
        <v>-562121.76</v>
      </c>
      <c r="I15" s="64">
        <f>'Forecast Drivers'!D81</f>
        <v>-160575.32635501667</v>
      </c>
      <c r="J15" s="64">
        <f>'Forecast Drivers'!E81</f>
        <v>-188223.04595611405</v>
      </c>
      <c r="K15" s="64">
        <f>'Forecast Drivers'!F81</f>
        <v>-188558.21999984354</v>
      </c>
      <c r="L15" s="64">
        <f>'Forecast Drivers'!G81</f>
        <v>-232938.51550390455</v>
      </c>
      <c r="M15" s="64">
        <f>'Forecast Drivers'!H81</f>
        <v>-301558.89956360729</v>
      </c>
      <c r="N15" s="64">
        <f>'Forecast Drivers'!I81</f>
        <v>-482466.41994055687</v>
      </c>
      <c r="O15" s="127">
        <f>SUM(C15:N15)</f>
        <v>-3058969.7073190426</v>
      </c>
    </row>
    <row r="16" spans="2:24" ht="15" customHeight="1" x14ac:dyDescent="0.35">
      <c r="B16" s="18" t="s">
        <v>39</v>
      </c>
      <c r="C16" s="122">
        <v>30180849.359999999</v>
      </c>
      <c r="D16" s="122">
        <v>30578224.920000002</v>
      </c>
      <c r="E16" s="122">
        <v>30837429.359999999</v>
      </c>
      <c r="F16" s="122">
        <v>31447353.84</v>
      </c>
      <c r="G16" s="122">
        <v>32493210.359999999</v>
      </c>
      <c r="H16" s="122">
        <v>33016720.32</v>
      </c>
      <c r="I16" s="64">
        <f>'Forecast Drivers'!D82</f>
        <v>33671666.720317781</v>
      </c>
      <c r="J16" s="64">
        <f>'Forecast Drivers'!E82</f>
        <v>33985619.409044512</v>
      </c>
      <c r="K16" s="64">
        <f>'Forecast Drivers'!F82</f>
        <v>34227398.188384533</v>
      </c>
      <c r="L16" s="64">
        <f>'Forecast Drivers'!G82</f>
        <v>34388015.770121619</v>
      </c>
      <c r="M16" s="64">
        <f>'Forecast Drivers'!H82</f>
        <v>34776456.209347919</v>
      </c>
      <c r="N16" s="64">
        <f>'Forecast Drivers'!I82</f>
        <v>34816416.564797632</v>
      </c>
      <c r="O16" s="127">
        <f>N16</f>
        <v>34816416.564797632</v>
      </c>
    </row>
    <row r="17" spans="2:15" ht="7" customHeight="1" x14ac:dyDescent="0.35">
      <c r="O17" s="128"/>
    </row>
    <row r="18" spans="2:15" ht="15" customHeight="1" x14ac:dyDescent="0.35">
      <c r="B18" s="22" t="s">
        <v>162</v>
      </c>
      <c r="C18" s="77">
        <f t="shared" ref="C18:N18" si="0">ROUND(C10+C11+C12+C13+C14+C15-C16,2)</f>
        <v>0</v>
      </c>
      <c r="D18" s="77">
        <f t="shared" si="0"/>
        <v>0</v>
      </c>
      <c r="E18" s="77">
        <f t="shared" si="0"/>
        <v>0</v>
      </c>
      <c r="F18" s="77">
        <f t="shared" si="0"/>
        <v>0</v>
      </c>
      <c r="G18" s="77">
        <f t="shared" si="0"/>
        <v>0</v>
      </c>
      <c r="H18" s="77">
        <f t="shared" si="0"/>
        <v>0</v>
      </c>
      <c r="I18" s="77">
        <f t="shared" si="0"/>
        <v>0</v>
      </c>
      <c r="J18" s="77">
        <f t="shared" si="0"/>
        <v>0</v>
      </c>
      <c r="K18" s="77">
        <f t="shared" si="0"/>
        <v>0</v>
      </c>
      <c r="L18" s="77">
        <f t="shared" si="0"/>
        <v>0</v>
      </c>
      <c r="M18" s="77">
        <f t="shared" si="0"/>
        <v>0</v>
      </c>
      <c r="N18" s="77">
        <f t="shared" si="0"/>
        <v>0</v>
      </c>
      <c r="O18" s="128"/>
    </row>
    <row r="19" spans="2:15" ht="15" customHeight="1" x14ac:dyDescent="0.35">
      <c r="O19" s="128"/>
    </row>
    <row r="20" spans="2:15" ht="15" customHeight="1" x14ac:dyDescent="0.35">
      <c r="B20" s="148" t="s">
        <v>163</v>
      </c>
      <c r="C20" s="149"/>
      <c r="D20" s="149"/>
      <c r="E20" s="149"/>
      <c r="F20" s="149"/>
      <c r="G20" s="149"/>
      <c r="H20" s="149"/>
      <c r="I20" s="149"/>
      <c r="J20" s="149"/>
      <c r="K20" s="149"/>
      <c r="L20" s="149"/>
      <c r="M20" s="149"/>
      <c r="N20" s="149"/>
      <c r="O20" s="150"/>
    </row>
    <row r="21" spans="2:15" ht="15" customHeight="1" x14ac:dyDescent="0.35">
      <c r="B21" s="65" t="s">
        <v>164</v>
      </c>
      <c r="C21" s="122">
        <v>2485743.3199999998</v>
      </c>
      <c r="D21" s="122">
        <v>2515388.27</v>
      </c>
      <c r="E21" s="122">
        <v>2533283.83</v>
      </c>
      <c r="F21" s="122">
        <v>2560065.62</v>
      </c>
      <c r="G21" s="122">
        <v>2597740.65</v>
      </c>
      <c r="H21" s="122">
        <v>2668547.91</v>
      </c>
      <c r="I21" s="64">
        <f>'Forecast Drivers'!D90</f>
        <v>2731761.7365000001</v>
      </c>
      <c r="J21" s="64">
        <f>'Forecast Drivers'!E90</f>
        <v>2781411.7366812318</v>
      </c>
      <c r="K21" s="64">
        <f>'Forecast Drivers'!F90</f>
        <v>2820361.7249264568</v>
      </c>
      <c r="L21" s="64">
        <f>'Forecast Drivers'!G90</f>
        <v>2843216.4781401269</v>
      </c>
      <c r="M21" s="64">
        <f>'Forecast Drivers'!H90</f>
        <v>2859644.8215283281</v>
      </c>
      <c r="N21" s="64">
        <f>'Forecast Drivers'!I90</f>
        <v>2883471.5009746738</v>
      </c>
      <c r="O21" s="127">
        <f t="shared" ref="O21:O27" si="1">SUM(C21:N21)</f>
        <v>32280637.598750815</v>
      </c>
    </row>
    <row r="22" spans="2:15" ht="15" customHeight="1" x14ac:dyDescent="0.35">
      <c r="B22" s="65" t="s">
        <v>165</v>
      </c>
      <c r="C22" s="122">
        <v>70707.55</v>
      </c>
      <c r="D22" s="122">
        <v>58952.53</v>
      </c>
      <c r="E22" s="122">
        <v>56835.99</v>
      </c>
      <c r="F22" s="122">
        <v>50909</v>
      </c>
      <c r="G22" s="122">
        <v>46436.61</v>
      </c>
      <c r="H22" s="122">
        <v>50722.78</v>
      </c>
      <c r="I22" s="64">
        <f>'Forecast Drivers'!D91</f>
        <v>56429.808568092791</v>
      </c>
      <c r="J22" s="64">
        <f>'Forecast Drivers'!E91</f>
        <v>11729.13058376841</v>
      </c>
      <c r="K22" s="64">
        <f>'Forecast Drivers'!F91</f>
        <v>1547.8935994293763</v>
      </c>
      <c r="L22" s="64">
        <f>'Forecast Drivers'!G91</f>
        <v>1680.1364932085626</v>
      </c>
      <c r="M22" s="64">
        <f>'Forecast Drivers'!H91</f>
        <v>52155.921287587247</v>
      </c>
      <c r="N22" s="64">
        <f>'Forecast Drivers'!I91</f>
        <v>52225.302368465986</v>
      </c>
      <c r="O22" s="127">
        <f t="shared" si="1"/>
        <v>510332.65290055238</v>
      </c>
    </row>
    <row r="23" spans="2:15" ht="15" customHeight="1" x14ac:dyDescent="0.35">
      <c r="B23" s="66" t="s">
        <v>166</v>
      </c>
      <c r="C23" s="123">
        <f t="shared" ref="C23:N23" si="2">C21+C22</f>
        <v>2556450.8699999996</v>
      </c>
      <c r="D23" s="123">
        <f t="shared" si="2"/>
        <v>2574340.7999999998</v>
      </c>
      <c r="E23" s="123">
        <f t="shared" si="2"/>
        <v>2590119.8200000003</v>
      </c>
      <c r="F23" s="123">
        <f t="shared" si="2"/>
        <v>2610974.62</v>
      </c>
      <c r="G23" s="123">
        <f t="shared" si="2"/>
        <v>2644177.2599999998</v>
      </c>
      <c r="H23" s="123">
        <f t="shared" si="2"/>
        <v>2719270.69</v>
      </c>
      <c r="I23" s="68">
        <f t="shared" si="2"/>
        <v>2788191.5450680931</v>
      </c>
      <c r="J23" s="68">
        <f t="shared" si="2"/>
        <v>2793140.867265</v>
      </c>
      <c r="K23" s="68">
        <f t="shared" si="2"/>
        <v>2821909.618525886</v>
      </c>
      <c r="L23" s="68">
        <f t="shared" si="2"/>
        <v>2844896.6146333353</v>
      </c>
      <c r="M23" s="68">
        <f t="shared" si="2"/>
        <v>2911800.7428159155</v>
      </c>
      <c r="N23" s="68">
        <f t="shared" si="2"/>
        <v>2935696.8033431396</v>
      </c>
      <c r="O23" s="129">
        <f t="shared" si="1"/>
        <v>32790970.251651369</v>
      </c>
    </row>
    <row r="24" spans="2:15" ht="15" customHeight="1" x14ac:dyDescent="0.35">
      <c r="B24" s="65" t="s">
        <v>167</v>
      </c>
      <c r="C24" s="122">
        <v>485515.3</v>
      </c>
      <c r="D24" s="122">
        <v>492789.53</v>
      </c>
      <c r="E24" s="122">
        <v>519298.51</v>
      </c>
      <c r="F24" s="122">
        <v>494409.36</v>
      </c>
      <c r="G24" s="122">
        <v>517045.75</v>
      </c>
      <c r="H24" s="122">
        <v>530858.05000000005</v>
      </c>
      <c r="I24" s="64">
        <v>514420.25826188992</v>
      </c>
      <c r="J24" s="64">
        <v>546837.40436815843</v>
      </c>
      <c r="K24" s="64">
        <v>545498.33321469277</v>
      </c>
      <c r="L24" s="64">
        <v>544164.29766973271</v>
      </c>
      <c r="M24" s="64">
        <v>542835.27874828922</v>
      </c>
      <c r="N24" s="64">
        <v>541511.25753712945</v>
      </c>
      <c r="O24" s="127">
        <f t="shared" si="1"/>
        <v>6275183.3297998933</v>
      </c>
    </row>
    <row r="25" spans="2:15" ht="15" customHeight="1" x14ac:dyDescent="0.35">
      <c r="B25" s="65" t="s">
        <v>168</v>
      </c>
      <c r="C25" s="122">
        <v>62478.79</v>
      </c>
      <c r="D25" s="122">
        <v>62470.16</v>
      </c>
      <c r="E25" s="122">
        <v>69930.95</v>
      </c>
      <c r="F25" s="122">
        <v>69856.84</v>
      </c>
      <c r="G25" s="122">
        <v>69917.02</v>
      </c>
      <c r="H25" s="122">
        <v>69650.3</v>
      </c>
      <c r="I25" s="64">
        <v>69945.524038347809</v>
      </c>
      <c r="J25" s="64">
        <v>69747.203524923592</v>
      </c>
      <c r="K25" s="64">
        <v>69549.511965959027</v>
      </c>
      <c r="L25" s="64">
        <v>69352.447366785476</v>
      </c>
      <c r="M25" s="64">
        <v>69156.00773906018</v>
      </c>
      <c r="N25" s="64">
        <v>68960.191100746189</v>
      </c>
      <c r="O25" s="127">
        <f t="shared" si="1"/>
        <v>821014.9457358222</v>
      </c>
    </row>
    <row r="26" spans="2:15" ht="15" customHeight="1" x14ac:dyDescent="0.35">
      <c r="B26" s="66" t="s">
        <v>169</v>
      </c>
      <c r="C26" s="123">
        <f t="shared" ref="C26:N26" si="3">C24+C25</f>
        <v>547994.09</v>
      </c>
      <c r="D26" s="123">
        <f t="shared" si="3"/>
        <v>555259.69000000006</v>
      </c>
      <c r="E26" s="123">
        <f t="shared" si="3"/>
        <v>589229.46</v>
      </c>
      <c r="F26" s="123">
        <f t="shared" si="3"/>
        <v>564266.19999999995</v>
      </c>
      <c r="G26" s="123">
        <f t="shared" si="3"/>
        <v>586962.77</v>
      </c>
      <c r="H26" s="123">
        <f t="shared" si="3"/>
        <v>600508.35000000009</v>
      </c>
      <c r="I26" s="68">
        <f t="shared" si="3"/>
        <v>584365.78230023768</v>
      </c>
      <c r="J26" s="68">
        <f t="shared" si="3"/>
        <v>616584.60789308208</v>
      </c>
      <c r="K26" s="68">
        <f t="shared" si="3"/>
        <v>615047.84518065176</v>
      </c>
      <c r="L26" s="68">
        <f t="shared" si="3"/>
        <v>613516.7450365182</v>
      </c>
      <c r="M26" s="68">
        <f t="shared" si="3"/>
        <v>611991.28648734943</v>
      </c>
      <c r="N26" s="68">
        <f t="shared" si="3"/>
        <v>610471.44863787561</v>
      </c>
      <c r="O26" s="129">
        <f t="shared" si="1"/>
        <v>7096198.2755357148</v>
      </c>
    </row>
    <row r="27" spans="2:15" ht="15" customHeight="1" x14ac:dyDescent="0.35">
      <c r="B27" s="66" t="s">
        <v>170</v>
      </c>
      <c r="C27" s="123">
        <f t="shared" ref="C27:N27" si="4">C23-C26</f>
        <v>2008456.7799999998</v>
      </c>
      <c r="D27" s="123">
        <f t="shared" si="4"/>
        <v>2019081.1099999999</v>
      </c>
      <c r="E27" s="123">
        <f t="shared" si="4"/>
        <v>2000890.3600000003</v>
      </c>
      <c r="F27" s="123">
        <f t="shared" si="4"/>
        <v>2046708.4200000002</v>
      </c>
      <c r="G27" s="123">
        <f t="shared" si="4"/>
        <v>2057214.4899999998</v>
      </c>
      <c r="H27" s="123">
        <f t="shared" si="4"/>
        <v>2118762.34</v>
      </c>
      <c r="I27" s="68">
        <f t="shared" si="4"/>
        <v>2203825.7627678555</v>
      </c>
      <c r="J27" s="68">
        <f t="shared" si="4"/>
        <v>2176556.2593719177</v>
      </c>
      <c r="K27" s="68">
        <f t="shared" si="4"/>
        <v>2206861.7733452343</v>
      </c>
      <c r="L27" s="68">
        <f t="shared" si="4"/>
        <v>2231379.8695968171</v>
      </c>
      <c r="M27" s="68">
        <f t="shared" si="4"/>
        <v>2299809.4563285662</v>
      </c>
      <c r="N27" s="68">
        <f t="shared" si="4"/>
        <v>2325225.3547052639</v>
      </c>
      <c r="O27" s="129">
        <f t="shared" si="1"/>
        <v>25694771.976115655</v>
      </c>
    </row>
    <row r="28" spans="2:15" ht="15" customHeight="1" x14ac:dyDescent="0.35">
      <c r="B28" s="18" t="s">
        <v>171</v>
      </c>
      <c r="C28" s="124">
        <f t="shared" ref="C28:O28" si="5">C27/C23</f>
        <v>0.78564262805488616</v>
      </c>
      <c r="D28" s="124">
        <f t="shared" si="5"/>
        <v>0.78430995227982248</v>
      </c>
      <c r="E28" s="124">
        <f t="shared" si="5"/>
        <v>0.77250880231479024</v>
      </c>
      <c r="F28" s="124">
        <f t="shared" si="5"/>
        <v>0.78388675413474529</v>
      </c>
      <c r="G28" s="124">
        <f t="shared" si="5"/>
        <v>0.7780168603371167</v>
      </c>
      <c r="H28" s="124">
        <f t="shared" si="5"/>
        <v>0.77916565930403936</v>
      </c>
      <c r="I28" s="69">
        <f t="shared" si="5"/>
        <v>0.79041404693522721</v>
      </c>
      <c r="J28" s="69">
        <f t="shared" si="5"/>
        <v>0.77925044342756966</v>
      </c>
      <c r="K28" s="69">
        <f t="shared" si="5"/>
        <v>0.78204551940896627</v>
      </c>
      <c r="L28" s="69">
        <f t="shared" si="5"/>
        <v>0.78434480118512451</v>
      </c>
      <c r="M28" s="69">
        <f t="shared" si="5"/>
        <v>0.78982377554601801</v>
      </c>
      <c r="N28" s="69">
        <f t="shared" si="5"/>
        <v>0.79205228280295248</v>
      </c>
      <c r="O28" s="130">
        <f t="shared" si="5"/>
        <v>0.78359291533380759</v>
      </c>
    </row>
    <row r="29" spans="2:15" ht="15" customHeight="1" x14ac:dyDescent="0.35">
      <c r="B29" s="65" t="s">
        <v>172</v>
      </c>
      <c r="C29" s="122">
        <v>1092738.1499999999</v>
      </c>
      <c r="D29" s="122">
        <v>1111024.78</v>
      </c>
      <c r="E29" s="122">
        <v>1203029.25</v>
      </c>
      <c r="F29" s="122">
        <v>1324853.52</v>
      </c>
      <c r="G29" s="122">
        <v>1271678.48</v>
      </c>
      <c r="H29" s="122">
        <v>1288126.25</v>
      </c>
      <c r="I29" s="64">
        <v>1289582.045919904</v>
      </c>
      <c r="J29" s="64">
        <v>1365906.254401841</v>
      </c>
      <c r="K29" s="64">
        <v>1359187.806351908</v>
      </c>
      <c r="L29" s="64">
        <v>1355049.2865034989</v>
      </c>
      <c r="M29" s="64">
        <v>1363430.2762095381</v>
      </c>
      <c r="N29" s="64">
        <v>1359313.9619757719</v>
      </c>
      <c r="O29" s="127">
        <f>SUM(C29:N29)</f>
        <v>15383920.061362462</v>
      </c>
    </row>
    <row r="30" spans="2:15" ht="15" customHeight="1" x14ac:dyDescent="0.35">
      <c r="B30" s="65" t="s">
        <v>173</v>
      </c>
      <c r="C30" s="122">
        <v>804145.12</v>
      </c>
      <c r="D30" s="122">
        <v>810796.51</v>
      </c>
      <c r="E30" s="122">
        <v>822096.85</v>
      </c>
      <c r="F30" s="122">
        <v>817844.18</v>
      </c>
      <c r="G30" s="122">
        <v>829779.86</v>
      </c>
      <c r="H30" s="122">
        <v>827519.54</v>
      </c>
      <c r="I30" s="64">
        <v>828190.127851789</v>
      </c>
      <c r="J30" s="64">
        <v>867863.93969754432</v>
      </c>
      <c r="K30" s="64">
        <v>865877.97938048199</v>
      </c>
      <c r="L30" s="64">
        <v>863896.92702812504</v>
      </c>
      <c r="M30" s="64">
        <v>861920.77049651078</v>
      </c>
      <c r="N30" s="64">
        <v>859949.49767176236</v>
      </c>
      <c r="O30" s="127">
        <f>SUM(C30:N30)</f>
        <v>10059881.302126214</v>
      </c>
    </row>
    <row r="31" spans="2:15" ht="15" customHeight="1" x14ac:dyDescent="0.35">
      <c r="B31" s="65" t="s">
        <v>174</v>
      </c>
      <c r="C31" s="122">
        <v>432213.05</v>
      </c>
      <c r="D31" s="122">
        <v>462393.86</v>
      </c>
      <c r="E31" s="122">
        <v>599754.12</v>
      </c>
      <c r="F31" s="122">
        <v>554504.04</v>
      </c>
      <c r="G31" s="122">
        <v>470615.8</v>
      </c>
      <c r="H31" s="122">
        <v>453032.6</v>
      </c>
      <c r="I31" s="64">
        <v>488539.50561841257</v>
      </c>
      <c r="J31" s="64">
        <v>501973.17255365121</v>
      </c>
      <c r="K31" s="64">
        <v>501345.98932526138</v>
      </c>
      <c r="L31" s="64">
        <v>500720.08516614343</v>
      </c>
      <c r="M31" s="64">
        <v>500095.45746777992</v>
      </c>
      <c r="N31" s="64">
        <v>499472.10362697358</v>
      </c>
      <c r="O31" s="127">
        <f>SUM(C31:N31)</f>
        <v>5964659.7837582212</v>
      </c>
    </row>
    <row r="32" spans="2:15" ht="15" customHeight="1" x14ac:dyDescent="0.35">
      <c r="B32" s="66" t="s">
        <v>175</v>
      </c>
      <c r="C32" s="123">
        <f t="shared" ref="C32:N32" si="6">C29+C30+C31</f>
        <v>2329096.3199999998</v>
      </c>
      <c r="D32" s="123">
        <f t="shared" si="6"/>
        <v>2384215.15</v>
      </c>
      <c r="E32" s="123">
        <f t="shared" si="6"/>
        <v>2624880.2200000002</v>
      </c>
      <c r="F32" s="123">
        <f t="shared" si="6"/>
        <v>2697201.74</v>
      </c>
      <c r="G32" s="123">
        <f t="shared" si="6"/>
        <v>2572074.1399999997</v>
      </c>
      <c r="H32" s="123">
        <f t="shared" si="6"/>
        <v>2568678.39</v>
      </c>
      <c r="I32" s="68">
        <f t="shared" si="6"/>
        <v>2606311.6793901054</v>
      </c>
      <c r="J32" s="68">
        <f t="shared" si="6"/>
        <v>2735743.3666530363</v>
      </c>
      <c r="K32" s="68">
        <f t="shared" si="6"/>
        <v>2726411.7750576511</v>
      </c>
      <c r="L32" s="68">
        <f t="shared" si="6"/>
        <v>2719666.2986977673</v>
      </c>
      <c r="M32" s="68">
        <f t="shared" si="6"/>
        <v>2725446.5041738288</v>
      </c>
      <c r="N32" s="68">
        <f t="shared" si="6"/>
        <v>2718735.5632745079</v>
      </c>
      <c r="O32" s="129">
        <f>SUM(C32:N32)</f>
        <v>31408461.147246897</v>
      </c>
    </row>
    <row r="33" spans="2:15" ht="15" customHeight="1" x14ac:dyDescent="0.35">
      <c r="B33" s="66" t="s">
        <v>176</v>
      </c>
      <c r="C33" s="123">
        <f t="shared" ref="C33:N33" si="7">C27-C32</f>
        <v>-320639.54000000004</v>
      </c>
      <c r="D33" s="123">
        <f t="shared" si="7"/>
        <v>-365134.04000000004</v>
      </c>
      <c r="E33" s="123">
        <f t="shared" si="7"/>
        <v>-623989.85999999987</v>
      </c>
      <c r="F33" s="123">
        <f t="shared" si="7"/>
        <v>-650493.32000000007</v>
      </c>
      <c r="G33" s="123">
        <f t="shared" si="7"/>
        <v>-514859.64999999991</v>
      </c>
      <c r="H33" s="123">
        <f t="shared" si="7"/>
        <v>-449916.05000000028</v>
      </c>
      <c r="I33" s="68">
        <f t="shared" si="7"/>
        <v>-402485.91662224988</v>
      </c>
      <c r="J33" s="68">
        <f t="shared" si="7"/>
        <v>-559187.10728111863</v>
      </c>
      <c r="K33" s="68">
        <f t="shared" si="7"/>
        <v>-519550.00171241676</v>
      </c>
      <c r="L33" s="68">
        <f t="shared" si="7"/>
        <v>-488286.42910095025</v>
      </c>
      <c r="M33" s="68">
        <f t="shared" si="7"/>
        <v>-425637.04784526257</v>
      </c>
      <c r="N33" s="68">
        <f t="shared" si="7"/>
        <v>-393510.20856924402</v>
      </c>
      <c r="O33" s="129">
        <f>SUM(C33:N33)</f>
        <v>-5713689.1711312421</v>
      </c>
    </row>
    <row r="34" spans="2:15" ht="15" customHeight="1" x14ac:dyDescent="0.35">
      <c r="B34" s="18" t="s">
        <v>177</v>
      </c>
      <c r="C34" s="124">
        <f t="shared" ref="C34:O34" si="8">C33/C23</f>
        <v>-0.12542370509158271</v>
      </c>
      <c r="D34" s="124">
        <f t="shared" si="8"/>
        <v>-0.14183593718438525</v>
      </c>
      <c r="E34" s="124">
        <f t="shared" si="8"/>
        <v>-0.24091158068509733</v>
      </c>
      <c r="F34" s="124">
        <f t="shared" si="8"/>
        <v>-0.24913812452148618</v>
      </c>
      <c r="G34" s="124">
        <f t="shared" si="8"/>
        <v>-0.19471449883053601</v>
      </c>
      <c r="H34" s="124">
        <f t="shared" si="8"/>
        <v>-0.16545467564319619</v>
      </c>
      <c r="I34" s="69">
        <f t="shared" si="8"/>
        <v>-0.14435375407912313</v>
      </c>
      <c r="J34" s="69">
        <f t="shared" si="8"/>
        <v>-0.2002001094304513</v>
      </c>
      <c r="K34" s="69">
        <f t="shared" si="8"/>
        <v>-0.18411291357510598</v>
      </c>
      <c r="L34" s="69">
        <f t="shared" si="8"/>
        <v>-0.17163591344210696</v>
      </c>
      <c r="M34" s="69">
        <f t="shared" si="8"/>
        <v>-0.14617657093996125</v>
      </c>
      <c r="N34" s="69">
        <f t="shared" si="8"/>
        <v>-0.13404320504798686</v>
      </c>
      <c r="O34" s="130">
        <f t="shared" si="8"/>
        <v>-0.17424580996786754</v>
      </c>
    </row>
    <row r="35" spans="2:15" ht="7" customHeight="1" x14ac:dyDescent="0.35">
      <c r="O35" s="128"/>
    </row>
    <row r="36" spans="2:15" ht="15" customHeight="1" x14ac:dyDescent="0.35">
      <c r="B36" s="148" t="s">
        <v>178</v>
      </c>
      <c r="C36" s="149"/>
      <c r="D36" s="149"/>
      <c r="E36" s="149"/>
      <c r="F36" s="149"/>
      <c r="G36" s="149"/>
      <c r="H36" s="149"/>
      <c r="I36" s="149"/>
      <c r="J36" s="149"/>
      <c r="K36" s="149"/>
      <c r="L36" s="149"/>
      <c r="M36" s="149"/>
      <c r="N36" s="149"/>
      <c r="O36" s="150"/>
    </row>
    <row r="37" spans="2:15" ht="15" customHeight="1" x14ac:dyDescent="0.35">
      <c r="B37" s="18" t="s">
        <v>179</v>
      </c>
      <c r="C37" s="125">
        <v>199</v>
      </c>
      <c r="D37" s="125">
        <v>200</v>
      </c>
      <c r="E37" s="125">
        <v>202</v>
      </c>
      <c r="F37" s="125">
        <v>204</v>
      </c>
      <c r="G37" s="125">
        <v>206</v>
      </c>
      <c r="H37" s="125">
        <v>206</v>
      </c>
      <c r="I37" s="70">
        <v>205.31055941546779</v>
      </c>
      <c r="J37" s="70">
        <v>220.62363775019909</v>
      </c>
      <c r="K37" s="70">
        <v>219.87924360214271</v>
      </c>
      <c r="L37" s="70">
        <v>219.1375910568909</v>
      </c>
      <c r="M37" s="70">
        <v>218.39866924229369</v>
      </c>
      <c r="N37" s="70">
        <v>217.66246733183951</v>
      </c>
      <c r="O37" s="131">
        <f>N37</f>
        <v>217.66246733183951</v>
      </c>
    </row>
    <row r="38" spans="2:15" ht="7" customHeight="1" x14ac:dyDescent="0.35">
      <c r="O38" s="128"/>
    </row>
    <row r="39" spans="2:15" ht="12" customHeight="1" x14ac:dyDescent="0.35">
      <c r="B39" s="22" t="s">
        <v>180</v>
      </c>
      <c r="O39" s="128"/>
    </row>
    <row r="40" spans="2:15" ht="12" customHeight="1" x14ac:dyDescent="0.35">
      <c r="B40" s="39" t="s">
        <v>181</v>
      </c>
      <c r="O40" s="128"/>
    </row>
    <row r="41" spans="2:15" ht="7" customHeight="1" x14ac:dyDescent="0.35">
      <c r="O41" s="128"/>
    </row>
  </sheetData>
  <hyperlinks>
    <hyperlink ref="O1" location="'Model Guide'!A1" display="← Model Guide" xr:uid="{4E800194-B13A-4328-AD90-2C35478E1DA8}"/>
  </hyperlinks>
  <pageMargins left="0.19444444444444445" right="0.19444444444444445" top="0.27777777777777779" bottom="0.27777777777777779" header="0.5" footer="0.5"/>
  <pageSetup scale="80" fitToHeight="0" orientation="landscape" r:id="rId1"/>
  <ignoredErrors>
    <ignoredError sqref="O28"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5E8C"/>
    <pageSetUpPr fitToPage="1"/>
  </sheetPr>
  <dimension ref="B1:Y62"/>
  <sheetViews>
    <sheetView showGridLines="0" zoomScale="95" zoomScaleNormal="95"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34" customWidth="1"/>
    <col min="3" max="4" width="15" customWidth="1"/>
    <col min="5" max="5" width="17" customWidth="1"/>
    <col min="6" max="8" width="15" customWidth="1"/>
    <col min="9" max="9" width="11" customWidth="1"/>
    <col min="10" max="10" width="13" customWidth="1"/>
  </cols>
  <sheetData>
    <row r="1" spans="2:25" ht="24" customHeight="1" x14ac:dyDescent="0.35">
      <c r="B1" s="37" t="s">
        <v>0</v>
      </c>
      <c r="J1" s="147" t="s">
        <v>939</v>
      </c>
    </row>
    <row r="2" spans="2:25" ht="15" customHeight="1" x14ac:dyDescent="0.35">
      <c r="B2" s="38" t="s">
        <v>182</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0"/>
      <c r="I5" s="40"/>
      <c r="J5" s="40"/>
      <c r="K5" s="46"/>
      <c r="L5" s="46"/>
      <c r="M5" s="46"/>
      <c r="N5" s="46"/>
      <c r="O5" s="46"/>
      <c r="P5" s="46"/>
      <c r="Q5" s="46"/>
      <c r="R5" s="46"/>
      <c r="S5" s="46"/>
      <c r="T5" s="46"/>
      <c r="U5" s="46"/>
      <c r="V5" s="46"/>
      <c r="W5" s="46"/>
      <c r="X5" s="46"/>
      <c r="Y5" s="46"/>
    </row>
    <row r="6" spans="2:25" ht="7" customHeight="1" x14ac:dyDescent="0.35"/>
    <row r="7" spans="2:25" ht="18" customHeight="1" thickBot="1" x14ac:dyDescent="0.4">
      <c r="B7" s="21" t="s">
        <v>183</v>
      </c>
      <c r="C7" s="41"/>
      <c r="D7" s="41"/>
      <c r="E7" s="41"/>
      <c r="F7" s="41"/>
      <c r="G7" s="41"/>
      <c r="H7" s="41"/>
      <c r="I7" s="41"/>
      <c r="J7" s="41"/>
    </row>
    <row r="8" spans="2:25" ht="30" customHeight="1" x14ac:dyDescent="0.35">
      <c r="B8" s="296" t="s">
        <v>184</v>
      </c>
      <c r="C8" s="296"/>
      <c r="D8" s="296"/>
      <c r="E8" s="296"/>
      <c r="F8" s="296"/>
      <c r="G8" s="296"/>
      <c r="H8" s="296"/>
      <c r="I8" s="296"/>
      <c r="J8" s="296"/>
    </row>
    <row r="9" spans="2:25" ht="15" customHeight="1" x14ac:dyDescent="0.35">
      <c r="B9" s="117"/>
      <c r="C9" s="117"/>
      <c r="D9" s="117"/>
      <c r="E9" s="117"/>
      <c r="F9" s="117"/>
      <c r="G9" s="117"/>
      <c r="H9" s="117"/>
      <c r="I9" s="117"/>
      <c r="J9" s="117"/>
    </row>
    <row r="10" spans="2:25" ht="15" customHeight="1" x14ac:dyDescent="0.35">
      <c r="B10" s="117"/>
      <c r="C10" s="117"/>
      <c r="D10" s="117"/>
      <c r="E10" s="117"/>
      <c r="F10" s="117"/>
      <c r="G10" s="117"/>
      <c r="H10" s="117"/>
      <c r="I10" s="117"/>
      <c r="J10" s="117"/>
    </row>
    <row r="11" spans="2:25" ht="15" customHeight="1" x14ac:dyDescent="0.35">
      <c r="B11" s="117"/>
      <c r="C11" s="117"/>
      <c r="D11" s="117"/>
      <c r="E11" s="117"/>
      <c r="F11" s="117"/>
      <c r="G11" s="117"/>
      <c r="H11" s="117"/>
      <c r="I11" s="117"/>
      <c r="J11" s="117"/>
    </row>
    <row r="12" spans="2:25" ht="15" customHeight="1" x14ac:dyDescent="0.35">
      <c r="B12" s="117"/>
      <c r="C12" s="117"/>
      <c r="D12" s="117"/>
      <c r="E12" s="117"/>
      <c r="F12" s="117"/>
      <c r="G12" s="117"/>
      <c r="H12" s="117"/>
      <c r="I12" s="117"/>
      <c r="J12" s="117"/>
    </row>
    <row r="13" spans="2:25" ht="15" customHeight="1" x14ac:dyDescent="0.35">
      <c r="B13" s="117"/>
      <c r="C13" s="117"/>
      <c r="D13" s="117"/>
      <c r="E13" s="117"/>
      <c r="F13" s="117"/>
      <c r="G13" s="117"/>
      <c r="H13" s="117"/>
      <c r="I13" s="117"/>
      <c r="J13" s="117"/>
    </row>
    <row r="14" spans="2:25" ht="15" customHeight="1" x14ac:dyDescent="0.35">
      <c r="B14" s="117"/>
      <c r="C14" s="117"/>
      <c r="D14" s="117"/>
      <c r="E14" s="117"/>
      <c r="F14" s="117"/>
      <c r="G14" s="117"/>
      <c r="H14" s="117"/>
      <c r="I14" s="117"/>
      <c r="J14" s="117"/>
    </row>
    <row r="15" spans="2:25" ht="15" customHeight="1" x14ac:dyDescent="0.35">
      <c r="B15" s="117"/>
      <c r="C15" s="117"/>
      <c r="D15" s="117"/>
      <c r="E15" s="117"/>
      <c r="F15" s="117"/>
      <c r="G15" s="117"/>
      <c r="H15" s="117"/>
      <c r="I15" s="117"/>
      <c r="J15" s="117"/>
    </row>
    <row r="16" spans="2:25" ht="15" customHeight="1" x14ac:dyDescent="0.35">
      <c r="B16" s="117"/>
      <c r="C16" s="117"/>
      <c r="D16" s="117"/>
      <c r="E16" s="117"/>
      <c r="F16" s="117"/>
      <c r="G16" s="117"/>
      <c r="H16" s="117"/>
      <c r="I16" s="117"/>
      <c r="J16" s="117"/>
    </row>
    <row r="17" spans="2:10" ht="15" customHeight="1" x14ac:dyDescent="0.35">
      <c r="B17" s="117"/>
      <c r="C17" s="117"/>
      <c r="D17" s="117"/>
      <c r="E17" s="117"/>
      <c r="F17" s="117"/>
      <c r="G17" s="117"/>
      <c r="H17" s="117"/>
      <c r="I17" s="117"/>
      <c r="J17" s="117"/>
    </row>
    <row r="18" spans="2:10" ht="15" customHeight="1" x14ac:dyDescent="0.35">
      <c r="B18" s="117"/>
      <c r="C18" s="117"/>
      <c r="D18" s="117"/>
      <c r="E18" s="117"/>
      <c r="F18" s="117"/>
      <c r="G18" s="117"/>
      <c r="H18" s="117"/>
      <c r="I18" s="117"/>
      <c r="J18" s="117"/>
    </row>
    <row r="19" spans="2:10" ht="15" customHeight="1" x14ac:dyDescent="0.35">
      <c r="B19" s="117"/>
      <c r="C19" s="117"/>
      <c r="D19" s="117"/>
      <c r="E19" s="117"/>
      <c r="F19" s="117"/>
      <c r="G19" s="117"/>
      <c r="H19" s="117"/>
      <c r="I19" s="117"/>
      <c r="J19" s="117"/>
    </row>
    <row r="20" spans="2:10" ht="15" customHeight="1" x14ac:dyDescent="0.35">
      <c r="B20" s="117"/>
      <c r="C20" s="117"/>
      <c r="D20" s="117"/>
      <c r="E20" s="117"/>
      <c r="F20" s="117"/>
      <c r="G20" s="117"/>
      <c r="H20" s="117"/>
      <c r="I20" s="117"/>
      <c r="J20" s="117"/>
    </row>
    <row r="21" spans="2:10" ht="15" customHeight="1" x14ac:dyDescent="0.35">
      <c r="B21" s="117"/>
      <c r="C21" s="117"/>
      <c r="D21" s="117"/>
      <c r="E21" s="117"/>
      <c r="F21" s="117"/>
      <c r="G21" s="117"/>
      <c r="H21" s="117"/>
      <c r="I21" s="117"/>
      <c r="J21" s="117"/>
    </row>
    <row r="22" spans="2:10" ht="15" customHeight="1" x14ac:dyDescent="0.35">
      <c r="B22" s="117"/>
      <c r="C22" s="117"/>
      <c r="D22" s="117"/>
      <c r="E22" s="117"/>
      <c r="F22" s="117"/>
      <c r="G22" s="117"/>
      <c r="H22" s="117"/>
      <c r="I22" s="117"/>
      <c r="J22" s="117"/>
    </row>
    <row r="23" spans="2:10" ht="7" customHeight="1" x14ac:dyDescent="0.35">
      <c r="B23" s="117"/>
      <c r="C23" s="117"/>
      <c r="D23" s="117"/>
      <c r="E23" s="117"/>
      <c r="F23" s="117"/>
      <c r="G23" s="117"/>
      <c r="H23" s="117"/>
      <c r="I23" s="117"/>
      <c r="J23" s="117"/>
    </row>
    <row r="24" spans="2:10" ht="7" customHeight="1" x14ac:dyDescent="0.35"/>
    <row r="25" spans="2:10" ht="26" customHeight="1" x14ac:dyDescent="0.35">
      <c r="B25" s="20" t="s">
        <v>160</v>
      </c>
      <c r="C25" s="42" t="s">
        <v>185</v>
      </c>
      <c r="D25" s="42" t="s">
        <v>186</v>
      </c>
      <c r="E25" s="42" t="s">
        <v>187</v>
      </c>
      <c r="F25" s="42" t="s">
        <v>188</v>
      </c>
      <c r="G25" s="42" t="s">
        <v>189</v>
      </c>
      <c r="H25" s="89" t="s">
        <v>9</v>
      </c>
      <c r="I25" s="89" t="s">
        <v>10</v>
      </c>
      <c r="J25" s="89" t="s">
        <v>190</v>
      </c>
    </row>
    <row r="26" spans="2:10" ht="15" customHeight="1" x14ac:dyDescent="0.35">
      <c r="B26" s="65" t="s">
        <v>164</v>
      </c>
      <c r="C26" s="63">
        <f>_xlfn.XLOOKUP("Subscription Revenue",tbl_pnl_summary[line_item],tbl_pnl_summary[fy2025_actual])</f>
        <v>26597200.510000002</v>
      </c>
      <c r="D26" s="63">
        <f>_xlfn.XLOOKUP("Subscription Revenue",tbl_pnl_summary[line_item],tbl_pnl_summary[h1_2026_actual])</f>
        <v>15360769.6</v>
      </c>
      <c r="E26" s="63">
        <f>_xlfn.XLOOKUP("Subscription Revenue",tbl_pnl_summary[line_item],tbl_pnl_summary[h2_2026_base])</f>
        <v>16919867.998750821</v>
      </c>
      <c r="F26" s="63">
        <f>_xlfn.XLOOKUP("Subscription Revenue",tbl_pnl_summary[line_item],tbl_pnl_summary[fy2026_base])</f>
        <v>32280637.59875083</v>
      </c>
      <c r="G26" s="63">
        <f>_xlfn.XLOOKUP("Subscription Revenue",tbl_pnl_summary[line_item],tbl_pnl_summary[fy2026_budget])</f>
        <v>32705653.670000002</v>
      </c>
      <c r="H26" s="78">
        <f>F26-G26</f>
        <v>-425016.07124917209</v>
      </c>
      <c r="I26" s="26">
        <f>IF(G26&lt;=0,"n/m",F26/G26-1)</f>
        <v>-1.2995186567361872E-2</v>
      </c>
      <c r="J26" s="27" t="str">
        <f>IF(_xlfn.XLOOKUP($B$26,tbl_pnl_summary[line_item],tbl_pnl_summary[polarity])="contextual","n/a",IF(H26=0,"-",IF((_xlfn.XLOOKUP($B$26,tbl_pnl_summary[line_item],tbl_pnl_summary[polarity])="higher_favorable")=(H26&gt;0),"Favorable","Unfavorable")))</f>
        <v>Unfavorable</v>
      </c>
    </row>
    <row r="27" spans="2:10" ht="15" customHeight="1" x14ac:dyDescent="0.35">
      <c r="B27" s="65" t="s">
        <v>165</v>
      </c>
      <c r="C27" s="63">
        <f>_xlfn.XLOOKUP("Services Revenue",tbl_pnl_summary[line_item],tbl_pnl_summary[fy2025_actual])</f>
        <v>802574.54</v>
      </c>
      <c r="D27" s="63">
        <f>_xlfn.XLOOKUP("Services Revenue",tbl_pnl_summary[line_item],tbl_pnl_summary[h1_2026_actual])</f>
        <v>334564.46000000002</v>
      </c>
      <c r="E27" s="63">
        <f>_xlfn.XLOOKUP("Services Revenue",tbl_pnl_summary[line_item],tbl_pnl_summary[h2_2026_base])</f>
        <v>175768.19290055241</v>
      </c>
      <c r="F27" s="63">
        <f>_xlfn.XLOOKUP("Services Revenue",tbl_pnl_summary[line_item],tbl_pnl_summary[fy2026_base])</f>
        <v>510332.65290055238</v>
      </c>
      <c r="G27" s="63">
        <f>_xlfn.XLOOKUP("Services Revenue",tbl_pnl_summary[line_item],tbl_pnl_summary[fy2026_budget])</f>
        <v>926973.59</v>
      </c>
      <c r="H27" s="78">
        <f>F27-G27</f>
        <v>-416640.93709944759</v>
      </c>
      <c r="I27" s="26">
        <f>IF(G27&lt;=0,"n/m",F27/G27-1)</f>
        <v>-0.4494636541904582</v>
      </c>
      <c r="J27" s="27" t="str">
        <f>IF(_xlfn.XLOOKUP($B$27,tbl_pnl_summary[line_item],tbl_pnl_summary[polarity])="contextual","n/a",IF(H27=0,"-",IF((_xlfn.XLOOKUP($B$27,tbl_pnl_summary[line_item],tbl_pnl_summary[polarity])="higher_favorable")=(H27&gt;0),"Favorable","Unfavorable")))</f>
        <v>Unfavorable</v>
      </c>
    </row>
    <row r="28" spans="2:10" ht="15" customHeight="1" x14ac:dyDescent="0.35">
      <c r="B28" s="66" t="s">
        <v>166</v>
      </c>
      <c r="C28" s="67">
        <f>_xlfn.XLOOKUP("Total Revenue",tbl_pnl_summary[line_item],tbl_pnl_summary[fy2025_actual])</f>
        <v>27399775.050000001</v>
      </c>
      <c r="D28" s="67">
        <f>_xlfn.XLOOKUP("Total Revenue",tbl_pnl_summary[line_item],tbl_pnl_summary[h1_2026_actual])</f>
        <v>15695334.060000001</v>
      </c>
      <c r="E28" s="67">
        <f>_xlfn.XLOOKUP("Total Revenue",tbl_pnl_summary[line_item],tbl_pnl_summary[h2_2026_base])</f>
        <v>17095636.19165137</v>
      </c>
      <c r="F28" s="67">
        <f>_xlfn.XLOOKUP("Total Revenue",tbl_pnl_summary[line_item],tbl_pnl_summary[fy2026_base])</f>
        <v>32790970.251651369</v>
      </c>
      <c r="G28" s="67">
        <f>_xlfn.XLOOKUP("Total Revenue",tbl_pnl_summary[line_item],tbl_pnl_summary[fy2026_budget])</f>
        <v>33632627.259999998</v>
      </c>
      <c r="H28" s="79">
        <f>F28-G28</f>
        <v>-841657.00834862888</v>
      </c>
      <c r="I28" s="80">
        <f>IF(G28&lt;=0,"n/m",F28/G28-1)</f>
        <v>-2.5025015198548828E-2</v>
      </c>
      <c r="J28" s="81" t="str">
        <f>IF(_xlfn.XLOOKUP($B$28,tbl_pnl_summary[line_item],tbl_pnl_summary[polarity])="contextual","n/a",IF(H28=0,"-",IF((_xlfn.XLOOKUP($B$28,tbl_pnl_summary[line_item],tbl_pnl_summary[polarity])="higher_favorable")=(H28&gt;0),"Favorable","Unfavorable")))</f>
        <v>Unfavorable</v>
      </c>
    </row>
    <row r="29" spans="2:10" ht="7" customHeight="1" x14ac:dyDescent="0.35">
      <c r="B29" s="44"/>
      <c r="C29" s="44"/>
      <c r="D29" s="44"/>
      <c r="E29" s="44"/>
      <c r="F29" s="44"/>
      <c r="G29" s="44"/>
      <c r="H29" s="44"/>
      <c r="I29" s="44"/>
      <c r="J29" s="44"/>
    </row>
    <row r="30" spans="2:10" ht="15" customHeight="1" x14ac:dyDescent="0.35">
      <c r="B30" s="65" t="s">
        <v>167</v>
      </c>
      <c r="C30" s="63">
        <f>_xlfn.XLOOKUP("Subscription COGS",tbl_pnl_summary[line_item],tbl_pnl_summary[fy2025_actual])</f>
        <v>5756105.1999999993</v>
      </c>
      <c r="D30" s="63">
        <f>_xlfn.XLOOKUP("Subscription COGS",tbl_pnl_summary[line_item],tbl_pnl_summary[h1_2026_actual])</f>
        <v>3039916.5</v>
      </c>
      <c r="E30" s="63">
        <f>_xlfn.XLOOKUP("Subscription COGS",tbl_pnl_summary[line_item],tbl_pnl_summary[h2_2026_base])</f>
        <v>3235266.8297998919</v>
      </c>
      <c r="F30" s="63">
        <f>_xlfn.XLOOKUP("Subscription COGS",tbl_pnl_summary[line_item],tbl_pnl_summary[fy2026_base])</f>
        <v>6275183.3297998933</v>
      </c>
      <c r="G30" s="63">
        <f>_xlfn.XLOOKUP("Subscription COGS",tbl_pnl_summary[line_item],tbl_pnl_summary[fy2026_budget])</f>
        <v>7935959.96</v>
      </c>
      <c r="H30" s="78">
        <f>F30-G30</f>
        <v>-1660776.6302001067</v>
      </c>
      <c r="I30" s="26">
        <f>IF(G30&lt;=0,"n/m",F30/G30-1)</f>
        <v>-0.2092723046198568</v>
      </c>
      <c r="J30" s="27" t="str">
        <f>IF(_xlfn.XLOOKUP($B$30,tbl_pnl_summary[line_item],tbl_pnl_summary[polarity])="contextual","n/a",IF(H30=0,"-",IF((_xlfn.XLOOKUP($B$30,tbl_pnl_summary[line_item],tbl_pnl_summary[polarity])="higher_favorable")=(H30&gt;0),"Favorable","Unfavorable")))</f>
        <v>Favorable</v>
      </c>
    </row>
    <row r="31" spans="2:10" ht="15" customHeight="1" x14ac:dyDescent="0.35">
      <c r="B31" s="65" t="s">
        <v>168</v>
      </c>
      <c r="C31" s="63">
        <f>_xlfn.XLOOKUP("Services COGS",tbl_pnl_summary[line_item],tbl_pnl_summary[fy2025_actual])</f>
        <v>708534.71</v>
      </c>
      <c r="D31" s="63">
        <f>_xlfn.XLOOKUP("Services COGS",tbl_pnl_summary[line_item],tbl_pnl_summary[h1_2026_actual])</f>
        <v>404304.06</v>
      </c>
      <c r="E31" s="63">
        <f>_xlfn.XLOOKUP("Services COGS",tbl_pnl_summary[line_item],tbl_pnl_summary[h2_2026_base])</f>
        <v>416710.88573582232</v>
      </c>
      <c r="F31" s="63">
        <f>_xlfn.XLOOKUP("Services COGS",tbl_pnl_summary[line_item],tbl_pnl_summary[fy2026_base])</f>
        <v>821014.9457358222</v>
      </c>
      <c r="G31" s="63">
        <f>_xlfn.XLOOKUP("Services COGS",tbl_pnl_summary[line_item],tbl_pnl_summary[fy2026_budget])</f>
        <v>785224.35</v>
      </c>
      <c r="H31" s="78">
        <f>F31-G31</f>
        <v>35790.595735822222</v>
      </c>
      <c r="I31" s="26">
        <f>IF(G31&lt;=0,"n/m",F31/G31-1)</f>
        <v>4.5580088971797883E-2</v>
      </c>
      <c r="J31" s="27" t="str">
        <f>IF(_xlfn.XLOOKUP($B$31,tbl_pnl_summary[line_item],tbl_pnl_summary[polarity])="contextual","n/a",IF(H31=0,"-",IF((_xlfn.XLOOKUP($B$31,tbl_pnl_summary[line_item],tbl_pnl_summary[polarity])="higher_favorable")=(H31&gt;0),"Favorable","Unfavorable")))</f>
        <v>Unfavorable</v>
      </c>
    </row>
    <row r="32" spans="2:10" ht="15" customHeight="1" x14ac:dyDescent="0.35">
      <c r="B32" s="66" t="s">
        <v>169</v>
      </c>
      <c r="C32" s="67">
        <f>_xlfn.XLOOKUP("Total COGS",tbl_pnl_summary[line_item],tbl_pnl_summary[fy2025_actual])</f>
        <v>6464639.9099999992</v>
      </c>
      <c r="D32" s="67">
        <f>_xlfn.XLOOKUP("Total COGS",tbl_pnl_summary[line_item],tbl_pnl_summary[h1_2026_actual])</f>
        <v>3444220.56</v>
      </c>
      <c r="E32" s="67">
        <f>_xlfn.XLOOKUP("Total COGS",tbl_pnl_summary[line_item],tbl_pnl_summary[h2_2026_base])</f>
        <v>3651977.7155357152</v>
      </c>
      <c r="F32" s="67">
        <f>_xlfn.XLOOKUP("Total COGS",tbl_pnl_summary[line_item],tbl_pnl_summary[fy2026_base])</f>
        <v>7096198.2755357148</v>
      </c>
      <c r="G32" s="67">
        <f>_xlfn.XLOOKUP("Total COGS",tbl_pnl_summary[line_item],tbl_pnl_summary[fy2026_budget])</f>
        <v>8721184.3100000005</v>
      </c>
      <c r="H32" s="79">
        <f>F32-G32</f>
        <v>-1624986.0344642857</v>
      </c>
      <c r="I32" s="80">
        <f>IF(G32&lt;=0,"n/m",F32/G32-1)</f>
        <v>-0.18632630348162948</v>
      </c>
      <c r="J32" s="81" t="str">
        <f>IF(_xlfn.XLOOKUP($B$32,tbl_pnl_summary[line_item],tbl_pnl_summary[polarity])="contextual","n/a",IF(H32=0,"-",IF((_xlfn.XLOOKUP($B$32,tbl_pnl_summary[line_item],tbl_pnl_summary[polarity])="higher_favorable")=(H32&gt;0),"Favorable","Unfavorable")))</f>
        <v>Favorable</v>
      </c>
    </row>
    <row r="33" spans="2:10" ht="15" customHeight="1" x14ac:dyDescent="0.35">
      <c r="B33" s="82" t="s">
        <v>170</v>
      </c>
      <c r="C33" s="83">
        <f>_xlfn.XLOOKUP("Gross Profit",tbl_pnl_summary[line_item],tbl_pnl_summary[fy2025_actual])</f>
        <v>20935135.140000001</v>
      </c>
      <c r="D33" s="83">
        <f>_xlfn.XLOOKUP("Gross Profit",tbl_pnl_summary[line_item],tbl_pnl_summary[h1_2026_actual])</f>
        <v>12251113.5</v>
      </c>
      <c r="E33" s="83">
        <f>_xlfn.XLOOKUP("Gross Profit",tbl_pnl_summary[line_item],tbl_pnl_summary[h2_2026_base])</f>
        <v>13443658.476115661</v>
      </c>
      <c r="F33" s="83">
        <f>_xlfn.XLOOKUP("Gross Profit",tbl_pnl_summary[line_item],tbl_pnl_summary[fy2026_base])</f>
        <v>25694771.976115659</v>
      </c>
      <c r="G33" s="83">
        <f>_xlfn.XLOOKUP("Gross Profit",tbl_pnl_summary[line_item],tbl_pnl_summary[fy2026_budget])</f>
        <v>24911442.949999999</v>
      </c>
      <c r="H33" s="84">
        <f>F33-G33</f>
        <v>783329.02611565962</v>
      </c>
      <c r="I33" s="85">
        <f>IF(G33&lt;=0,"n/m",F33/G33-1)</f>
        <v>3.1444546495676073E-2</v>
      </c>
      <c r="J33" s="86" t="str">
        <f>IF(_xlfn.XLOOKUP($B$33,tbl_pnl_summary[line_item],tbl_pnl_summary[polarity])="contextual","n/a",IF(H33=0,"-",IF((_xlfn.XLOOKUP($B$33,tbl_pnl_summary[line_item],tbl_pnl_summary[polarity])="higher_favorable")=(H33&gt;0),"Favorable","Unfavorable")))</f>
        <v>Favorable</v>
      </c>
    </row>
    <row r="34" spans="2:10" ht="15" customHeight="1" x14ac:dyDescent="0.35">
      <c r="B34" s="18" t="s">
        <v>171</v>
      </c>
      <c r="C34" s="28">
        <f>_xlfn.XLOOKUP("Gross Margin %",tbl_pnl_summary[line_item],tbl_pnl_summary[fy2025_actual])</f>
        <v>0.76406229984723895</v>
      </c>
      <c r="D34" s="28">
        <f>_xlfn.XLOOKUP("Gross Margin %",tbl_pnl_summary[line_item],tbl_pnl_summary[h1_2026_actual])</f>
        <v>0.78055767740696314</v>
      </c>
      <c r="E34" s="28">
        <f>_xlfn.XLOOKUP("Gross Margin %",tbl_pnl_summary[line_item],tbl_pnl_summary[h2_2026_base])</f>
        <v>0.78637953717574149</v>
      </c>
      <c r="F34" s="28">
        <f>_xlfn.XLOOKUP("Gross Margin %",tbl_pnl_summary[line_item],tbl_pnl_summary[fy2026_base])</f>
        <v>0.78359291533380782</v>
      </c>
      <c r="G34" s="28">
        <f>_xlfn.XLOOKUP("Gross Margin %",tbl_pnl_summary[line_item],tbl_pnl_summary[fy2026_budget])</f>
        <v>0.74069274331201929</v>
      </c>
      <c r="H34" s="87">
        <f>(F34-G34)*10000</f>
        <v>429.00172021788529</v>
      </c>
      <c r="I34" s="43" t="s">
        <v>17</v>
      </c>
      <c r="J34" s="27" t="str">
        <f>IF(_xlfn.XLOOKUP($B$34,tbl_pnl_summary[line_item],tbl_pnl_summary[polarity])="contextual","n/a",IF(H34=0,"-",IF((_xlfn.XLOOKUP($B$34,tbl_pnl_summary[line_item],tbl_pnl_summary[polarity])="higher_favorable")=(H34&gt;0),"Favorable","Unfavorable")))</f>
        <v>Favorable</v>
      </c>
    </row>
    <row r="35" spans="2:10" ht="7" customHeight="1" x14ac:dyDescent="0.35">
      <c r="B35" s="44"/>
      <c r="C35" s="44"/>
      <c r="D35" s="44"/>
      <c r="E35" s="44"/>
      <c r="F35" s="44"/>
      <c r="G35" s="44"/>
      <c r="H35" s="44"/>
      <c r="I35" s="44"/>
      <c r="J35" s="44"/>
    </row>
    <row r="36" spans="2:10" ht="15" customHeight="1" x14ac:dyDescent="0.35">
      <c r="B36" s="65" t="s">
        <v>172</v>
      </c>
      <c r="C36" s="63">
        <f>_xlfn.XLOOKUP("Sales &amp; Marketing",tbl_pnl_summary[line_item],tbl_pnl_summary[fy2025_actual])</f>
        <v>14145200.08</v>
      </c>
      <c r="D36" s="63">
        <f>_xlfn.XLOOKUP("Sales &amp; Marketing",tbl_pnl_summary[line_item],tbl_pnl_summary[h1_2026_actual])</f>
        <v>7291450.4299999997</v>
      </c>
      <c r="E36" s="63">
        <f>_xlfn.XLOOKUP("Sales &amp; Marketing",tbl_pnl_summary[line_item],tbl_pnl_summary[h2_2026_base])</f>
        <v>8092469.6313624624</v>
      </c>
      <c r="F36" s="63">
        <f>_xlfn.XLOOKUP("Sales &amp; Marketing",tbl_pnl_summary[line_item],tbl_pnl_summary[fy2026_base])</f>
        <v>15383920.06136246</v>
      </c>
      <c r="G36" s="63">
        <f>_xlfn.XLOOKUP("Sales &amp; Marketing",tbl_pnl_summary[line_item],tbl_pnl_summary[fy2026_budget])</f>
        <v>14482767.92</v>
      </c>
      <c r="H36" s="78">
        <f>F36-G36</f>
        <v>901152.14136246033</v>
      </c>
      <c r="I36" s="26">
        <f>IF(G36&lt;=0,"n/m",F36/G36-1)</f>
        <v>6.2222369808053957E-2</v>
      </c>
      <c r="J36" s="27" t="str">
        <f>IF(_xlfn.XLOOKUP($B$36,tbl_pnl_summary[line_item],tbl_pnl_summary[polarity])="contextual","n/a",IF(H36=0,"-",IF((_xlfn.XLOOKUP($B$36,tbl_pnl_summary[line_item],tbl_pnl_summary[polarity])="higher_favorable")=(H36&gt;0),"Favorable","Unfavorable")))</f>
        <v>Unfavorable</v>
      </c>
    </row>
    <row r="37" spans="2:10" ht="15" customHeight="1" x14ac:dyDescent="0.35">
      <c r="B37" s="65" t="s">
        <v>173</v>
      </c>
      <c r="C37" s="63">
        <f>_xlfn.XLOOKUP("Research &amp; Development",tbl_pnl_summary[line_item],tbl_pnl_summary[fy2025_actual])</f>
        <v>9200437.1400000006</v>
      </c>
      <c r="D37" s="63">
        <f>_xlfn.XLOOKUP("Research &amp; Development",tbl_pnl_summary[line_item],tbl_pnl_summary[h1_2026_actual])</f>
        <v>4912182.0600000015</v>
      </c>
      <c r="E37" s="63">
        <f>_xlfn.XLOOKUP("Research &amp; Development",tbl_pnl_summary[line_item],tbl_pnl_summary[h2_2026_base])</f>
        <v>5147699.2421262134</v>
      </c>
      <c r="F37" s="63">
        <f>_xlfn.XLOOKUP("Research &amp; Development",tbl_pnl_summary[line_item],tbl_pnl_summary[fy2026_base])</f>
        <v>10059881.30212621</v>
      </c>
      <c r="G37" s="63">
        <f>_xlfn.XLOOKUP("Research &amp; Development",tbl_pnl_summary[line_item],tbl_pnl_summary[fy2026_budget])</f>
        <v>10140310.439999999</v>
      </c>
      <c r="H37" s="78">
        <f>F37-G37</f>
        <v>-80429.137873789296</v>
      </c>
      <c r="I37" s="26">
        <f>IF(G37&lt;=0,"n/m",F37/G37-1)</f>
        <v>-7.9316248106688914E-3</v>
      </c>
      <c r="J37" s="27" t="str">
        <f>IF(_xlfn.XLOOKUP($B$37,tbl_pnl_summary[line_item],tbl_pnl_summary[polarity])="contextual","n/a",IF(H37=0,"-",IF((_xlfn.XLOOKUP($B$37,tbl_pnl_summary[line_item],tbl_pnl_summary[polarity])="higher_favorable")=(H37&gt;0),"Favorable","Unfavorable")))</f>
        <v>Favorable</v>
      </c>
    </row>
    <row r="38" spans="2:10" ht="15" customHeight="1" x14ac:dyDescent="0.35">
      <c r="B38" s="65" t="s">
        <v>174</v>
      </c>
      <c r="C38" s="63">
        <f>_xlfn.XLOOKUP("General &amp; Administrative",tbl_pnl_summary[line_item],tbl_pnl_summary[fy2025_actual])</f>
        <v>5120076.7400000012</v>
      </c>
      <c r="D38" s="63">
        <f>_xlfn.XLOOKUP("General &amp; Administrative",tbl_pnl_summary[line_item],tbl_pnl_summary[h1_2026_actual])</f>
        <v>2972513.47</v>
      </c>
      <c r="E38" s="63">
        <f>_xlfn.XLOOKUP("General &amp; Administrative",tbl_pnl_summary[line_item],tbl_pnl_summary[h2_2026_base])</f>
        <v>2992146.3137582219</v>
      </c>
      <c r="F38" s="63">
        <f>_xlfn.XLOOKUP("General &amp; Administrative",tbl_pnl_summary[line_item],tbl_pnl_summary[fy2026_base])</f>
        <v>5964659.7837582221</v>
      </c>
      <c r="G38" s="63">
        <f>_xlfn.XLOOKUP("General &amp; Administrative",tbl_pnl_summary[line_item],tbl_pnl_summary[fy2026_budget])</f>
        <v>5913831.4699999997</v>
      </c>
      <c r="H38" s="78">
        <f>F38-G38</f>
        <v>50828.313758222386</v>
      </c>
      <c r="I38" s="26">
        <f>IF(G38&lt;=0,"n/m",F38/G38-1)</f>
        <v>8.5948194526792587E-3</v>
      </c>
      <c r="J38" s="27" t="str">
        <f>IF(_xlfn.XLOOKUP($B$38,tbl_pnl_summary[line_item],tbl_pnl_summary[polarity])="contextual","n/a",IF(H38=0,"-",IF((_xlfn.XLOOKUP($B$38,tbl_pnl_summary[line_item],tbl_pnl_summary[polarity])="higher_favorable")=(H38&gt;0),"Favorable","Unfavorable")))</f>
        <v>Unfavorable</v>
      </c>
    </row>
    <row r="39" spans="2:10" ht="15" customHeight="1" x14ac:dyDescent="0.35">
      <c r="B39" s="66" t="s">
        <v>175</v>
      </c>
      <c r="C39" s="67">
        <f>_xlfn.XLOOKUP("Total OpEx",tbl_pnl_summary[line_item],tbl_pnl_summary[fy2025_actual])</f>
        <v>28465713.960000001</v>
      </c>
      <c r="D39" s="67">
        <f>_xlfn.XLOOKUP("Total OpEx",tbl_pnl_summary[line_item],tbl_pnl_summary[h1_2026_actual])</f>
        <v>15176145.960000001</v>
      </c>
      <c r="E39" s="67">
        <f>_xlfn.XLOOKUP("Total OpEx",tbl_pnl_summary[line_item],tbl_pnl_summary[h2_2026_base])</f>
        <v>16232315.1872469</v>
      </c>
      <c r="F39" s="67">
        <f>_xlfn.XLOOKUP("Total OpEx",tbl_pnl_summary[line_item],tbl_pnl_summary[fy2026_base])</f>
        <v>31408461.147246901</v>
      </c>
      <c r="G39" s="67">
        <f>_xlfn.XLOOKUP("Total OpEx",tbl_pnl_summary[line_item],tbl_pnl_summary[fy2026_budget])</f>
        <v>30536909.829999998</v>
      </c>
      <c r="H39" s="79">
        <f>F39-G39</f>
        <v>871551.31724690273</v>
      </c>
      <c r="I39" s="80">
        <f>IF(G39&lt;=0,"n/m",F39/G39-1)</f>
        <v>2.8540913998792217E-2</v>
      </c>
      <c r="J39" s="81" t="str">
        <f>IF(_xlfn.XLOOKUP($B$39,tbl_pnl_summary[line_item],tbl_pnl_summary[polarity])="contextual","n/a",IF(H39=0,"-",IF((_xlfn.XLOOKUP($B$39,tbl_pnl_summary[line_item],tbl_pnl_summary[polarity])="higher_favorable")=(H39&gt;0),"Favorable","Unfavorable")))</f>
        <v>Unfavorable</v>
      </c>
    </row>
    <row r="40" spans="2:10" ht="7" customHeight="1" x14ac:dyDescent="0.35">
      <c r="B40" s="44"/>
      <c r="C40" s="44"/>
      <c r="D40" s="44"/>
      <c r="E40" s="44"/>
      <c r="F40" s="44"/>
      <c r="G40" s="44"/>
      <c r="H40" s="44"/>
      <c r="I40" s="44"/>
      <c r="J40" s="44"/>
    </row>
    <row r="41" spans="2:10" ht="15" customHeight="1" x14ac:dyDescent="0.35">
      <c r="B41" s="82" t="s">
        <v>176</v>
      </c>
      <c r="C41" s="83">
        <f>_xlfn.XLOOKUP("Operating Income / (Loss)",tbl_pnl_summary[line_item],tbl_pnl_summary[fy2025_actual])</f>
        <v>-7530578.8199999984</v>
      </c>
      <c r="D41" s="83">
        <f>_xlfn.XLOOKUP("Operating Income / (Loss)",tbl_pnl_summary[line_item],tbl_pnl_summary[h1_2026_actual])</f>
        <v>-2925032.46</v>
      </c>
      <c r="E41" s="83">
        <f>_xlfn.XLOOKUP("Operating Income / (Loss)",tbl_pnl_summary[line_item],tbl_pnl_summary[h2_2026_base])</f>
        <v>-2788656.711131237</v>
      </c>
      <c r="F41" s="83">
        <f>_xlfn.XLOOKUP("Operating Income / (Loss)",tbl_pnl_summary[line_item],tbl_pnl_summary[fy2026_base])</f>
        <v>-5713689.1711312355</v>
      </c>
      <c r="G41" s="83">
        <f>_xlfn.XLOOKUP("Operating Income / (Loss)",tbl_pnl_summary[line_item],tbl_pnl_summary[fy2026_budget])</f>
        <v>-5625466.8799999952</v>
      </c>
      <c r="H41" s="84">
        <f>F41-G41</f>
        <v>-88222.291131240316</v>
      </c>
      <c r="I41" s="85" t="str">
        <f>IF(G41&lt;=0,"n/m",F41/G41-1)</f>
        <v>n/m</v>
      </c>
      <c r="J41" s="86" t="str">
        <f>IF(_xlfn.XLOOKUP($B$41,tbl_pnl_summary[line_item],tbl_pnl_summary[polarity])="contextual","n/a",IF(H41=0,"-",IF((_xlfn.XLOOKUP($B$41,tbl_pnl_summary[line_item],tbl_pnl_summary[polarity])="higher_favorable")=(H41&gt;0),"Favorable","Unfavorable")))</f>
        <v>Unfavorable</v>
      </c>
    </row>
    <row r="42" spans="2:10" ht="15" customHeight="1" x14ac:dyDescent="0.35">
      <c r="B42" s="18" t="s">
        <v>177</v>
      </c>
      <c r="C42" s="28">
        <f>_xlfn.XLOOKUP("Operating Margin %",tbl_pnl_summary[line_item],tbl_pnl_summary[fy2025_actual])</f>
        <v>-0.27484089946935519</v>
      </c>
      <c r="D42" s="28">
        <f>_xlfn.XLOOKUP("Operating Margin %",tbl_pnl_summary[line_item],tbl_pnl_summary[h1_2026_actual])</f>
        <v>-0.18636318595183829</v>
      </c>
      <c r="E42" s="28">
        <f>_xlfn.XLOOKUP("Operating Margin %",tbl_pnl_summary[line_item],tbl_pnl_summary[h2_2026_base])</f>
        <v>-0.1631209672380062</v>
      </c>
      <c r="F42" s="28">
        <f>_xlfn.XLOOKUP("Operating Margin %",tbl_pnl_summary[line_item],tbl_pnl_summary[fy2026_base])</f>
        <v>-0.1742458099678674</v>
      </c>
      <c r="G42" s="28">
        <f>_xlfn.XLOOKUP("Operating Margin %",tbl_pnl_summary[line_item],tbl_pnl_summary[fy2026_budget])</f>
        <v>-0.16726218967408721</v>
      </c>
      <c r="H42" s="87">
        <f>(F42-G42)*10000</f>
        <v>-69.8362029378019</v>
      </c>
      <c r="I42" s="43" t="s">
        <v>17</v>
      </c>
      <c r="J42" s="27" t="str">
        <f>IF(_xlfn.XLOOKUP($B$42,tbl_pnl_summary[line_item],tbl_pnl_summary[polarity])="contextual","n/a",IF(H42=0,"-",IF((_xlfn.XLOOKUP($B$42,tbl_pnl_summary[line_item],tbl_pnl_summary[polarity])="higher_favorable")=(H42&gt;0),"Favorable","Unfavorable")))</f>
        <v>Unfavorable</v>
      </c>
    </row>
    <row r="43" spans="2:10" ht="7" customHeight="1" x14ac:dyDescent="0.35">
      <c r="B43" s="44"/>
      <c r="C43" s="44"/>
      <c r="D43" s="44"/>
      <c r="E43" s="44"/>
      <c r="F43" s="44"/>
      <c r="G43" s="44"/>
      <c r="H43" s="44"/>
      <c r="I43" s="44"/>
      <c r="J43" s="44"/>
    </row>
    <row r="44" spans="2:10" ht="12" customHeight="1" x14ac:dyDescent="0.35">
      <c r="B44" s="39" t="s">
        <v>191</v>
      </c>
    </row>
    <row r="45" spans="2:10" ht="7" customHeight="1" x14ac:dyDescent="0.35"/>
    <row r="46" spans="2:10" ht="15" customHeight="1" x14ac:dyDescent="0.35"/>
    <row r="47" spans="2:10" ht="18" customHeight="1" thickBot="1" x14ac:dyDescent="0.4">
      <c r="B47" s="21" t="s">
        <v>192</v>
      </c>
      <c r="C47" s="41"/>
      <c r="D47" s="41"/>
      <c r="E47" s="41"/>
      <c r="F47" s="41"/>
      <c r="G47" s="41"/>
      <c r="H47" s="41"/>
      <c r="I47" s="41"/>
      <c r="J47" s="41"/>
    </row>
    <row r="48" spans="2:10" ht="30" customHeight="1" x14ac:dyDescent="0.35">
      <c r="B48" s="296" t="s">
        <v>193</v>
      </c>
      <c r="C48" s="296"/>
      <c r="D48" s="296"/>
      <c r="E48" s="296"/>
      <c r="F48" s="296"/>
      <c r="G48" s="296"/>
      <c r="H48" s="296"/>
      <c r="I48" s="296"/>
      <c r="J48" s="296"/>
    </row>
    <row r="49" spans="2:3" ht="7" customHeight="1" x14ac:dyDescent="0.35"/>
    <row r="50" spans="2:3" ht="26" customHeight="1" x14ac:dyDescent="0.35">
      <c r="B50" s="20" t="s">
        <v>194</v>
      </c>
      <c r="C50" s="42" t="s">
        <v>195</v>
      </c>
    </row>
    <row r="51" spans="2:3" ht="15" customHeight="1" x14ac:dyDescent="0.35">
      <c r="B51" s="18" t="s">
        <v>196</v>
      </c>
      <c r="C51" s="30">
        <v>27.36101116252248</v>
      </c>
    </row>
    <row r="52" spans="2:3" ht="15" customHeight="1" x14ac:dyDescent="0.35">
      <c r="B52" s="18" t="s">
        <v>197</v>
      </c>
      <c r="C52" s="30">
        <v>54.222128773924567</v>
      </c>
    </row>
    <row r="53" spans="2:3" ht="15" customHeight="1" x14ac:dyDescent="0.35">
      <c r="B53" s="18" t="s">
        <v>198</v>
      </c>
      <c r="C53" s="30">
        <v>21.736211180417119</v>
      </c>
    </row>
    <row r="54" spans="2:3" ht="15" customHeight="1" x14ac:dyDescent="0.35">
      <c r="B54" s="18" t="s">
        <v>199</v>
      </c>
      <c r="C54" s="30">
        <v>18.584658253230121</v>
      </c>
    </row>
    <row r="55" spans="2:3" ht="15" customHeight="1" x14ac:dyDescent="0.35">
      <c r="B55" s="18" t="s">
        <v>200</v>
      </c>
      <c r="C55" s="30">
        <v>22.648176362071641</v>
      </c>
    </row>
    <row r="56" spans="2:3" ht="15" customHeight="1" x14ac:dyDescent="0.35">
      <c r="B56" s="18" t="s">
        <v>201</v>
      </c>
      <c r="C56" s="30">
        <v>7.8489744553030603</v>
      </c>
    </row>
    <row r="57" spans="2:3" ht="15" customHeight="1" x14ac:dyDescent="0.35">
      <c r="B57" s="18" t="s">
        <v>202</v>
      </c>
      <c r="C57" s="30">
        <v>48.606417750220061</v>
      </c>
    </row>
    <row r="58" spans="2:3" ht="15" customHeight="1" x14ac:dyDescent="0.35">
      <c r="B58" s="18" t="s">
        <v>203</v>
      </c>
      <c r="C58" s="30">
        <v>16.654889394150452</v>
      </c>
    </row>
    <row r="59" spans="2:3" ht="15" customHeight="1" x14ac:dyDescent="0.35">
      <c r="B59" s="47" t="s">
        <v>76</v>
      </c>
      <c r="C59" s="88">
        <f>SUM(C51:C58)</f>
        <v>217.66246733183948</v>
      </c>
    </row>
    <row r="60" spans="2:3" ht="15" customHeight="1" x14ac:dyDescent="0.35"/>
    <row r="61" spans="2:3" ht="12" customHeight="1" x14ac:dyDescent="0.35">
      <c r="B61" s="39" t="s">
        <v>204</v>
      </c>
    </row>
    <row r="62" spans="2:3" ht="7" customHeight="1" x14ac:dyDescent="0.35"/>
  </sheetData>
  <mergeCells count="2">
    <mergeCell ref="B8:J8"/>
    <mergeCell ref="B48:J48"/>
  </mergeCells>
  <conditionalFormatting sqref="H26:I43">
    <cfRule type="expression" dxfId="14" priority="5">
      <formula>$J26="Favorable"</formula>
    </cfRule>
    <cfRule type="expression" dxfId="13" priority="6">
      <formula>$J26="Unfavorable"</formula>
    </cfRule>
  </conditionalFormatting>
  <conditionalFormatting sqref="J26:J43">
    <cfRule type="cellIs" dxfId="12" priority="3" operator="equal">
      <formula>"Favorable"</formula>
    </cfRule>
    <cfRule type="cellIs" dxfId="11" priority="4" operator="equal">
      <formula>"Unfavorable"</formula>
    </cfRule>
  </conditionalFormatting>
  <hyperlinks>
    <hyperlink ref="J1" location="'Model Guide'!A1" display="← Model Guide" xr:uid="{AF861E86-9C7D-475B-A9E6-872BA9B6B595}"/>
  </hyperlinks>
  <pageMargins left="0.19444444444444445" right="0.19444444444444445" top="0.27777777777777779" bottom="0.27777777777777779" header="0.5" footer="0.5"/>
  <pageSetup scale="90"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95959"/>
    <pageSetUpPr fitToPage="1"/>
  </sheetPr>
  <dimension ref="B1:Y44"/>
  <sheetViews>
    <sheetView showGridLines="0" zoomScale="90" zoomScaleNormal="9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46.6328125" customWidth="1"/>
    <col min="3" max="3" width="22.6328125" customWidth="1"/>
    <col min="4" max="4" width="16.6328125" customWidth="1"/>
    <col min="5" max="5" width="44.6328125" customWidth="1"/>
    <col min="6" max="6" width="21.6328125" customWidth="1"/>
  </cols>
  <sheetData>
    <row r="1" spans="2:25" ht="24" customHeight="1" x14ac:dyDescent="0.35">
      <c r="B1" s="37" t="s">
        <v>0</v>
      </c>
      <c r="F1" s="147" t="s">
        <v>939</v>
      </c>
    </row>
    <row r="2" spans="2:25" ht="15" customHeight="1" x14ac:dyDescent="0.35">
      <c r="B2" s="38" t="s">
        <v>392</v>
      </c>
    </row>
    <row r="3" spans="2:25" ht="12" customHeight="1" x14ac:dyDescent="0.35">
      <c r="B3" s="39" t="s">
        <v>2</v>
      </c>
    </row>
    <row r="4" spans="2:25" ht="12" customHeight="1" x14ac:dyDescent="0.35">
      <c r="B4" s="39" t="s">
        <v>897</v>
      </c>
    </row>
    <row r="5" spans="2:25" ht="7" customHeight="1" x14ac:dyDescent="0.35">
      <c r="B5" s="40"/>
      <c r="C5" s="40"/>
      <c r="D5" s="40"/>
      <c r="E5" s="40"/>
      <c r="F5" s="40"/>
      <c r="G5" s="46"/>
      <c r="H5" s="46"/>
      <c r="I5" s="46"/>
      <c r="J5" s="46"/>
      <c r="K5" s="46"/>
      <c r="L5" s="46"/>
      <c r="M5" s="46"/>
      <c r="N5" s="46"/>
      <c r="O5" s="46"/>
      <c r="P5" s="46"/>
      <c r="Q5" s="46"/>
      <c r="R5" s="46"/>
      <c r="S5" s="46"/>
      <c r="T5" s="46"/>
      <c r="U5" s="46"/>
      <c r="V5" s="46"/>
      <c r="W5" s="46"/>
      <c r="X5" s="46"/>
      <c r="Y5" s="46"/>
    </row>
    <row r="6" spans="2:25" ht="7" customHeight="1" x14ac:dyDescent="0.35"/>
    <row r="7" spans="2:25" ht="18" customHeight="1" thickBot="1" x14ac:dyDescent="0.4">
      <c r="B7" s="21" t="s">
        <v>393</v>
      </c>
      <c r="C7" s="41"/>
      <c r="D7" s="41"/>
      <c r="E7" s="41"/>
      <c r="F7" s="41"/>
    </row>
    <row r="8" spans="2:25" ht="30" customHeight="1" x14ac:dyDescent="0.35">
      <c r="B8" s="296" t="s">
        <v>394</v>
      </c>
      <c r="C8" s="296"/>
      <c r="D8" s="296"/>
      <c r="E8" s="296"/>
      <c r="F8" s="296"/>
    </row>
    <row r="9" spans="2:25" ht="7" customHeight="1" x14ac:dyDescent="0.35"/>
    <row r="10" spans="2:25" ht="26" customHeight="1" x14ac:dyDescent="0.35">
      <c r="B10" s="20" t="s">
        <v>395</v>
      </c>
      <c r="C10" s="42" t="s">
        <v>22</v>
      </c>
      <c r="D10" s="20" t="s">
        <v>396</v>
      </c>
      <c r="E10" s="20" t="s">
        <v>397</v>
      </c>
      <c r="F10" s="20" t="s">
        <v>398</v>
      </c>
    </row>
    <row r="11" spans="2:25" ht="26" customHeight="1" x14ac:dyDescent="0.35">
      <c r="B11" s="18" t="s">
        <v>399</v>
      </c>
      <c r="C11" s="101" t="s">
        <v>400</v>
      </c>
      <c r="D11" s="22" t="s">
        <v>401</v>
      </c>
      <c r="E11" s="117" t="s">
        <v>402</v>
      </c>
      <c r="F11" s="34" t="s">
        <v>403</v>
      </c>
    </row>
    <row r="12" spans="2:25" ht="28.15" customHeight="1" x14ac:dyDescent="0.35">
      <c r="B12" s="18" t="s">
        <v>404</v>
      </c>
      <c r="C12" s="101" t="s">
        <v>405</v>
      </c>
      <c r="D12" s="22" t="s">
        <v>401</v>
      </c>
      <c r="E12" s="117" t="s">
        <v>406</v>
      </c>
      <c r="F12" s="34" t="s">
        <v>403</v>
      </c>
    </row>
    <row r="13" spans="2:25" ht="26" customHeight="1" x14ac:dyDescent="0.35">
      <c r="B13" s="18" t="s">
        <v>407</v>
      </c>
      <c r="C13" s="101" t="s">
        <v>408</v>
      </c>
      <c r="D13" s="22" t="s">
        <v>409</v>
      </c>
      <c r="E13" s="117" t="s">
        <v>410</v>
      </c>
      <c r="F13" s="34" t="s">
        <v>403</v>
      </c>
    </row>
    <row r="14" spans="2:25" ht="26" customHeight="1" x14ac:dyDescent="0.35">
      <c r="B14" s="18" t="s">
        <v>411</v>
      </c>
      <c r="C14" s="101" t="s">
        <v>412</v>
      </c>
      <c r="D14" s="22" t="s">
        <v>401</v>
      </c>
      <c r="E14" s="117" t="s">
        <v>413</v>
      </c>
      <c r="F14" s="34" t="s">
        <v>403</v>
      </c>
    </row>
    <row r="15" spans="2:25" ht="28.15" customHeight="1" x14ac:dyDescent="0.35">
      <c r="B15" s="18" t="s">
        <v>414</v>
      </c>
      <c r="C15" s="106" t="s">
        <v>415</v>
      </c>
      <c r="D15" s="22" t="s">
        <v>401</v>
      </c>
      <c r="E15" s="117" t="s">
        <v>416</v>
      </c>
      <c r="F15" s="107" t="s">
        <v>417</v>
      </c>
    </row>
    <row r="16" spans="2:25" ht="28.15" customHeight="1" x14ac:dyDescent="0.35">
      <c r="B16" s="18" t="s">
        <v>418</v>
      </c>
      <c r="C16" s="106" t="s">
        <v>419</v>
      </c>
      <c r="D16" s="22" t="s">
        <v>401</v>
      </c>
      <c r="E16" s="117" t="s">
        <v>420</v>
      </c>
      <c r="F16" s="107" t="s">
        <v>417</v>
      </c>
    </row>
    <row r="17" spans="2:6" ht="28.15" customHeight="1" x14ac:dyDescent="0.35">
      <c r="B17" s="18" t="s">
        <v>421</v>
      </c>
      <c r="C17" s="101" t="s">
        <v>422</v>
      </c>
      <c r="D17" s="22" t="s">
        <v>423</v>
      </c>
      <c r="E17" s="117" t="s">
        <v>424</v>
      </c>
      <c r="F17" s="118" t="s">
        <v>425</v>
      </c>
    </row>
    <row r="18" spans="2:6" ht="40.25" customHeight="1" x14ac:dyDescent="0.35">
      <c r="B18" s="18" t="s">
        <v>426</v>
      </c>
      <c r="C18" s="101" t="s">
        <v>427</v>
      </c>
      <c r="D18" s="22" t="s">
        <v>428</v>
      </c>
      <c r="E18" s="117" t="s">
        <v>429</v>
      </c>
      <c r="F18" s="118" t="s">
        <v>425</v>
      </c>
    </row>
    <row r="19" spans="2:6" ht="28.15" customHeight="1" x14ac:dyDescent="0.35">
      <c r="B19" s="18" t="s">
        <v>430</v>
      </c>
      <c r="C19" s="106" t="s">
        <v>431</v>
      </c>
      <c r="D19" s="22" t="s">
        <v>432</v>
      </c>
      <c r="E19" s="117" t="s">
        <v>433</v>
      </c>
      <c r="F19" s="107" t="s">
        <v>417</v>
      </c>
    </row>
    <row r="20" spans="2:6" ht="26" customHeight="1" x14ac:dyDescent="0.35">
      <c r="B20" s="18" t="s">
        <v>434</v>
      </c>
      <c r="C20" s="106" t="s">
        <v>431</v>
      </c>
      <c r="D20" s="22" t="s">
        <v>432</v>
      </c>
      <c r="E20" s="117" t="s">
        <v>435</v>
      </c>
      <c r="F20" s="107" t="s">
        <v>417</v>
      </c>
    </row>
    <row r="21" spans="2:6" ht="26" customHeight="1" x14ac:dyDescent="0.35">
      <c r="B21" s="18" t="s">
        <v>436</v>
      </c>
      <c r="C21" s="106" t="s">
        <v>437</v>
      </c>
      <c r="D21" s="22" t="s">
        <v>432</v>
      </c>
      <c r="E21" s="117" t="s">
        <v>438</v>
      </c>
      <c r="F21" s="107" t="s">
        <v>417</v>
      </c>
    </row>
    <row r="22" spans="2:6" ht="28.15" customHeight="1" x14ac:dyDescent="0.35">
      <c r="B22" s="18" t="s">
        <v>439</v>
      </c>
      <c r="C22" s="106" t="s">
        <v>440</v>
      </c>
      <c r="D22" s="22" t="s">
        <v>432</v>
      </c>
      <c r="E22" s="117" t="s">
        <v>441</v>
      </c>
      <c r="F22" s="107" t="s">
        <v>417</v>
      </c>
    </row>
    <row r="23" spans="2:6" ht="26" customHeight="1" x14ac:dyDescent="0.35">
      <c r="B23" s="18" t="s">
        <v>442</v>
      </c>
      <c r="C23" s="106" t="s">
        <v>443</v>
      </c>
      <c r="D23" s="22" t="s">
        <v>432</v>
      </c>
      <c r="E23" s="117" t="s">
        <v>444</v>
      </c>
      <c r="F23" s="107" t="s">
        <v>417</v>
      </c>
    </row>
    <row r="24" spans="2:6" ht="28.15" customHeight="1" x14ac:dyDescent="0.35">
      <c r="B24" s="18" t="s">
        <v>445</v>
      </c>
      <c r="C24" s="106" t="s">
        <v>446</v>
      </c>
      <c r="D24" s="22" t="s">
        <v>447</v>
      </c>
      <c r="E24" s="117" t="s">
        <v>448</v>
      </c>
      <c r="F24" s="34" t="s">
        <v>449</v>
      </c>
    </row>
    <row r="25" spans="2:6" ht="28.15" customHeight="1" x14ac:dyDescent="0.35">
      <c r="B25" s="18" t="s">
        <v>450</v>
      </c>
      <c r="C25" s="108">
        <v>0.41</v>
      </c>
      <c r="D25" s="22" t="s">
        <v>451</v>
      </c>
      <c r="E25" s="117" t="s">
        <v>452</v>
      </c>
      <c r="F25" s="34" t="s">
        <v>449</v>
      </c>
    </row>
    <row r="26" spans="2:6" ht="28.15" customHeight="1" x14ac:dyDescent="0.35">
      <c r="B26" s="18" t="s">
        <v>453</v>
      </c>
      <c r="C26" s="108">
        <v>0.59</v>
      </c>
      <c r="D26" s="22" t="s">
        <v>451</v>
      </c>
      <c r="E26" s="117" t="s">
        <v>454</v>
      </c>
      <c r="F26" s="34" t="s">
        <v>449</v>
      </c>
    </row>
    <row r="27" spans="2:6" ht="40.25" customHeight="1" x14ac:dyDescent="0.35">
      <c r="B27" s="18" t="s">
        <v>455</v>
      </c>
      <c r="C27" s="109">
        <v>36</v>
      </c>
      <c r="D27" s="22" t="s">
        <v>456</v>
      </c>
      <c r="E27" s="117" t="s">
        <v>457</v>
      </c>
      <c r="F27" s="34" t="s">
        <v>449</v>
      </c>
    </row>
    <row r="28" spans="2:6" ht="28.15" customHeight="1" x14ac:dyDescent="0.35">
      <c r="B28" s="18" t="s">
        <v>458</v>
      </c>
      <c r="C28" s="101" t="s">
        <v>459</v>
      </c>
      <c r="D28" s="22" t="s">
        <v>460</v>
      </c>
      <c r="E28" s="117" t="s">
        <v>461</v>
      </c>
      <c r="F28" s="34" t="s">
        <v>403</v>
      </c>
    </row>
    <row r="29" spans="2:6" ht="28.15" customHeight="1" x14ac:dyDescent="0.35">
      <c r="B29" s="18" t="s">
        <v>462</v>
      </c>
      <c r="C29" s="101" t="s">
        <v>463</v>
      </c>
      <c r="D29" s="22" t="s">
        <v>464</v>
      </c>
      <c r="E29" s="117" t="s">
        <v>465</v>
      </c>
      <c r="F29" s="34" t="s">
        <v>403</v>
      </c>
    </row>
    <row r="30" spans="2:6" ht="28.15" customHeight="1" x14ac:dyDescent="0.35">
      <c r="B30" s="18" t="s">
        <v>466</v>
      </c>
      <c r="C30" s="110">
        <v>21800000</v>
      </c>
      <c r="D30" s="22" t="s">
        <v>467</v>
      </c>
      <c r="E30" s="117" t="s">
        <v>468</v>
      </c>
      <c r="F30" s="34" t="s">
        <v>403</v>
      </c>
    </row>
    <row r="31" spans="2:6" ht="28.15" customHeight="1" x14ac:dyDescent="0.35">
      <c r="B31" s="18" t="s">
        <v>469</v>
      </c>
      <c r="C31" s="110">
        <v>850000</v>
      </c>
      <c r="D31" s="22" t="s">
        <v>470</v>
      </c>
      <c r="E31" s="117" t="s">
        <v>471</v>
      </c>
      <c r="F31" s="34" t="s">
        <v>403</v>
      </c>
    </row>
    <row r="32" spans="2:6" ht="26" customHeight="1" x14ac:dyDescent="0.35">
      <c r="B32" s="18" t="s">
        <v>308</v>
      </c>
      <c r="C32" s="100">
        <v>24</v>
      </c>
      <c r="D32" s="22" t="s">
        <v>456</v>
      </c>
      <c r="E32" s="117" t="s">
        <v>472</v>
      </c>
      <c r="F32" s="34" t="s">
        <v>403</v>
      </c>
    </row>
    <row r="33" spans="2:6" ht="28.15" customHeight="1" x14ac:dyDescent="0.35">
      <c r="B33" s="18" t="s">
        <v>473</v>
      </c>
      <c r="C33" s="53">
        <v>0.26</v>
      </c>
      <c r="D33" s="22" t="s">
        <v>474</v>
      </c>
      <c r="E33" s="117" t="s">
        <v>475</v>
      </c>
      <c r="F33" s="34" t="s">
        <v>403</v>
      </c>
    </row>
    <row r="34" spans="2:6" ht="28.15" customHeight="1" x14ac:dyDescent="0.35">
      <c r="B34" s="18" t="s">
        <v>476</v>
      </c>
      <c r="C34" s="53">
        <v>0.78</v>
      </c>
      <c r="D34" s="22" t="s">
        <v>477</v>
      </c>
      <c r="E34" s="117" t="s">
        <v>478</v>
      </c>
      <c r="F34" s="34" t="s">
        <v>403</v>
      </c>
    </row>
    <row r="35" spans="2:6" ht="28.15" customHeight="1" x14ac:dyDescent="0.35">
      <c r="B35" s="18" t="s">
        <v>479</v>
      </c>
      <c r="C35" s="111">
        <v>250000</v>
      </c>
      <c r="D35" s="22" t="s">
        <v>467</v>
      </c>
      <c r="E35" s="117" t="s">
        <v>480</v>
      </c>
      <c r="F35" s="107" t="s">
        <v>417</v>
      </c>
    </row>
    <row r="36" spans="2:6" ht="28.15" customHeight="1" x14ac:dyDescent="0.35">
      <c r="B36" s="18" t="s">
        <v>481</v>
      </c>
      <c r="C36" s="108">
        <v>0.03</v>
      </c>
      <c r="D36" s="22" t="s">
        <v>482</v>
      </c>
      <c r="E36" s="117" t="s">
        <v>483</v>
      </c>
      <c r="F36" s="107" t="s">
        <v>417</v>
      </c>
    </row>
    <row r="37" spans="2:6" ht="28.15" customHeight="1" x14ac:dyDescent="0.35">
      <c r="B37" s="18" t="s">
        <v>484</v>
      </c>
      <c r="C37" s="112">
        <v>5</v>
      </c>
      <c r="D37" s="22" t="s">
        <v>485</v>
      </c>
      <c r="E37" s="117" t="s">
        <v>486</v>
      </c>
      <c r="F37" s="107" t="s">
        <v>417</v>
      </c>
    </row>
    <row r="38" spans="2:6" ht="15" customHeight="1" x14ac:dyDescent="0.35"/>
    <row r="39" spans="2:6" ht="28.15" customHeight="1" x14ac:dyDescent="0.35">
      <c r="B39" s="298" t="s">
        <v>487</v>
      </c>
      <c r="C39" s="298"/>
      <c r="D39" s="298"/>
      <c r="E39" s="298"/>
      <c r="F39" s="298"/>
    </row>
    <row r="40" spans="2:6" ht="15" customHeight="1" x14ac:dyDescent="0.35"/>
    <row r="41" spans="2:6" ht="28.15" customHeight="1" x14ac:dyDescent="0.35">
      <c r="B41" s="298" t="s">
        <v>488</v>
      </c>
      <c r="C41" s="298"/>
      <c r="D41" s="298"/>
      <c r="E41" s="298"/>
      <c r="F41" s="298"/>
    </row>
    <row r="42" spans="2:6" ht="15" customHeight="1" x14ac:dyDescent="0.35"/>
    <row r="43" spans="2:6" ht="12" customHeight="1" x14ac:dyDescent="0.35">
      <c r="B43" s="39" t="s">
        <v>489</v>
      </c>
    </row>
    <row r="44" spans="2:6" ht="7" customHeight="1" x14ac:dyDescent="0.35"/>
  </sheetData>
  <mergeCells count="3">
    <mergeCell ref="B8:F8"/>
    <mergeCell ref="B39:F39"/>
    <mergeCell ref="B41:F41"/>
  </mergeCells>
  <hyperlinks>
    <hyperlink ref="F1" location="'Model Guide'!A1" display="← Model Guide" xr:uid="{8009880B-AD9E-4F8C-8C9B-86456FA9896C}"/>
  </hyperlinks>
  <pageMargins left="0.19444444444444445" right="0.19444444444444445" top="0.27777777777777779" bottom="0.27777777777777779" header="0.5" footer="0.5"/>
  <pageSetup scale="88"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4F046-8C72-487A-8048-D30CF943CD6A}">
  <sheetPr>
    <tabColor rgb="FF2E5E8C"/>
    <pageSetUpPr fitToPage="1"/>
  </sheetPr>
  <dimension ref="B1:J106"/>
  <sheetViews>
    <sheetView showGridLines="0" zoomScale="85" zoomScaleNormal="85" workbookViewId="0">
      <pane xSplit="3" ySplit="6" topLeftCell="D7" activePane="bottomRight" state="frozen"/>
      <selection pane="topRight" activeCell="D1" sqref="D1"/>
      <selection pane="bottomLeft" activeCell="A7" sqref="A7"/>
      <selection pane="bottomRight"/>
    </sheetView>
  </sheetViews>
  <sheetFormatPr defaultRowHeight="14.5" x14ac:dyDescent="0.35"/>
  <cols>
    <col min="1" max="1" width="2.453125" customWidth="1"/>
    <col min="2" max="2" width="38.6328125" customWidth="1"/>
    <col min="3" max="3" width="24.6328125" customWidth="1"/>
    <col min="4" max="10" width="14.6328125" customWidth="1"/>
  </cols>
  <sheetData>
    <row r="1" spans="2:10" ht="24" customHeight="1" x14ac:dyDescent="0.35">
      <c r="B1" s="132" t="s">
        <v>0</v>
      </c>
      <c r="J1" s="175" t="s">
        <v>939</v>
      </c>
    </row>
    <row r="2" spans="2:10" ht="15" customHeight="1" x14ac:dyDescent="0.35">
      <c r="B2" s="133" t="s">
        <v>983</v>
      </c>
    </row>
    <row r="3" spans="2:10" ht="12" customHeight="1" x14ac:dyDescent="0.35">
      <c r="B3" s="134" t="s">
        <v>2</v>
      </c>
    </row>
    <row r="4" spans="2:10" ht="12" customHeight="1" x14ac:dyDescent="0.35">
      <c r="B4" s="134" t="s">
        <v>897</v>
      </c>
    </row>
    <row r="5" spans="2:10" ht="7" customHeight="1" x14ac:dyDescent="0.35">
      <c r="B5" s="116"/>
      <c r="C5" s="116"/>
      <c r="D5" s="116"/>
      <c r="E5" s="116"/>
      <c r="F5" s="116"/>
      <c r="G5" s="116"/>
      <c r="H5" s="116"/>
      <c r="I5" s="116"/>
      <c r="J5" s="116"/>
    </row>
    <row r="6" spans="2:10" ht="7" customHeight="1" x14ac:dyDescent="0.35"/>
    <row r="7" spans="2:10" ht="18" customHeight="1" thickBot="1" x14ac:dyDescent="0.4">
      <c r="B7" s="135" t="s">
        <v>984</v>
      </c>
      <c r="C7" s="136"/>
      <c r="D7" s="136"/>
      <c r="E7" s="136"/>
      <c r="F7" s="136"/>
      <c r="G7" s="136"/>
      <c r="H7" s="136"/>
      <c r="I7" s="136"/>
      <c r="J7" s="136"/>
    </row>
    <row r="8" spans="2:10" ht="17" customHeight="1" x14ac:dyDescent="0.35">
      <c r="B8" s="299" t="s">
        <v>985</v>
      </c>
      <c r="C8" s="299"/>
      <c r="D8" s="299"/>
      <c r="E8" s="299"/>
      <c r="F8" s="299"/>
      <c r="G8" s="299"/>
      <c r="H8" s="299"/>
      <c r="I8" s="299"/>
      <c r="J8" s="299"/>
    </row>
    <row r="9" spans="2:10" ht="7" customHeight="1" x14ac:dyDescent="0.35"/>
    <row r="10" spans="2:10" ht="15" customHeight="1" x14ac:dyDescent="0.35">
      <c r="B10" s="158" t="s">
        <v>986</v>
      </c>
      <c r="D10" s="159" t="s">
        <v>276</v>
      </c>
      <c r="E10" s="157" t="s">
        <v>987</v>
      </c>
    </row>
    <row r="12" spans="2:10" ht="18" customHeight="1" thickBot="1" x14ac:dyDescent="0.4">
      <c r="B12" s="135" t="s">
        <v>988</v>
      </c>
      <c r="C12" s="136"/>
      <c r="D12" s="136"/>
      <c r="E12" s="136"/>
      <c r="F12" s="136"/>
      <c r="G12" s="136"/>
      <c r="H12" s="136"/>
      <c r="I12" s="136"/>
      <c r="J12" s="136"/>
    </row>
    <row r="13" spans="2:10" ht="17" customHeight="1" x14ac:dyDescent="0.35">
      <c r="B13" s="299" t="s">
        <v>989</v>
      </c>
      <c r="C13" s="299"/>
      <c r="D13" s="299"/>
      <c r="E13" s="299"/>
      <c r="F13" s="299"/>
      <c r="G13" s="299"/>
      <c r="H13" s="299"/>
      <c r="I13" s="299"/>
      <c r="J13" s="299"/>
    </row>
    <row r="14" spans="2:10" ht="7" customHeight="1" x14ac:dyDescent="0.35"/>
    <row r="15" spans="2:10" ht="26" customHeight="1" x14ac:dyDescent="0.35">
      <c r="B15" s="139" t="s">
        <v>990</v>
      </c>
      <c r="C15" s="139" t="s">
        <v>70</v>
      </c>
      <c r="D15" s="160" t="s">
        <v>991</v>
      </c>
      <c r="E15" s="160" t="s">
        <v>276</v>
      </c>
      <c r="F15" s="160" t="s">
        <v>992</v>
      </c>
      <c r="G15" s="316" t="s">
        <v>396</v>
      </c>
    </row>
    <row r="16" spans="2:10" ht="15" customHeight="1" x14ac:dyDescent="0.35">
      <c r="B16" s="161" t="s">
        <v>993</v>
      </c>
      <c r="C16" s="157" t="s">
        <v>726</v>
      </c>
      <c r="D16" s="163">
        <f>SUMPRODUCT((tbl_scenario_drivers[driver_name]="attainment_multiplier")*(tbl_scenario_drivers[segment]="All")*CHOOSE(MATCH('Forecast Drivers'!$D$10,{"Bear","Base","Bull"},0),tbl_scenario_drivers[Bear],tbl_scenario_drivers[Base],tbl_scenario_drivers[Bull]))</f>
        <v>1</v>
      </c>
      <c r="E16" s="163">
        <f>SUMPRODUCT((tbl_scenario_drivers[driver_name]="attainment_multiplier")*(tbl_scenario_drivers[segment]="All")*tbl_scenario_drivers[Base])</f>
        <v>1</v>
      </c>
      <c r="F16" s="163">
        <f t="shared" ref="F16:F33" si="0">IFERROR(D16/E16,1)</f>
        <v>1</v>
      </c>
      <c r="G16" s="317" t="s">
        <v>432</v>
      </c>
    </row>
    <row r="17" spans="2:7" ht="15" customHeight="1" x14ac:dyDescent="0.35">
      <c r="B17" s="161" t="s">
        <v>994</v>
      </c>
      <c r="C17" s="157" t="s">
        <v>77</v>
      </c>
      <c r="D17" s="164">
        <f>SUMPRODUCT((tbl_scenario_drivers[driver_name]="win_rate")*(tbl_scenario_drivers[segment]="SMB")*CHOOSE(MATCH('Forecast Drivers'!$D$10,{"Bear","Base","Bull"},0),tbl_scenario_drivers[Bear],tbl_scenario_drivers[Base],tbl_scenario_drivers[Bull]))</f>
        <v>0.2614259597806215</v>
      </c>
      <c r="E17" s="164">
        <f>SUMPRODUCT((tbl_scenario_drivers[driver_name]="win_rate")*(tbl_scenario_drivers[segment]="SMB")*tbl_scenario_drivers[Base])</f>
        <v>0.2614259597806215</v>
      </c>
      <c r="F17" s="163">
        <f t="shared" si="0"/>
        <v>1</v>
      </c>
      <c r="G17" s="317" t="s">
        <v>423</v>
      </c>
    </row>
    <row r="18" spans="2:7" ht="15" customHeight="1" x14ac:dyDescent="0.35">
      <c r="B18" s="161" t="s">
        <v>994</v>
      </c>
      <c r="C18" s="157" t="s">
        <v>78</v>
      </c>
      <c r="D18" s="164">
        <f>SUMPRODUCT((tbl_scenario_drivers[driver_name]="win_rate")*(tbl_scenario_drivers[segment]="Mid-Market")*CHOOSE(MATCH('Forecast Drivers'!$D$10,{"Bear","Base","Bull"},0),tbl_scenario_drivers[Bear],tbl_scenario_drivers[Base],tbl_scenario_drivers[Bull]))</f>
        <v>0.17874396135265699</v>
      </c>
      <c r="E18" s="164">
        <f>SUMPRODUCT((tbl_scenario_drivers[driver_name]="win_rate")*(tbl_scenario_drivers[segment]="Mid-Market")*tbl_scenario_drivers[Base])</f>
        <v>0.17874396135265699</v>
      </c>
      <c r="F18" s="163">
        <f t="shared" si="0"/>
        <v>1</v>
      </c>
      <c r="G18" s="317" t="s">
        <v>423</v>
      </c>
    </row>
    <row r="19" spans="2:7" ht="15" customHeight="1" x14ac:dyDescent="0.35">
      <c r="B19" s="161" t="s">
        <v>994</v>
      </c>
      <c r="C19" s="157" t="s">
        <v>79</v>
      </c>
      <c r="D19" s="164">
        <f>SUMPRODUCT((tbl_scenario_drivers[driver_name]="win_rate")*(tbl_scenario_drivers[segment]="Enterprise")*CHOOSE(MATCH('Forecast Drivers'!$D$10,{"Bear","Base","Bull"},0),tbl_scenario_drivers[Bear],tbl_scenario_drivers[Base],tbl_scenario_drivers[Bull]))</f>
        <v>0.125</v>
      </c>
      <c r="E19" s="164">
        <f>SUMPRODUCT((tbl_scenario_drivers[driver_name]="win_rate")*(tbl_scenario_drivers[segment]="Enterprise")*tbl_scenario_drivers[Base])</f>
        <v>0.125</v>
      </c>
      <c r="F19" s="163">
        <f t="shared" si="0"/>
        <v>1</v>
      </c>
      <c r="G19" s="317" t="s">
        <v>423</v>
      </c>
    </row>
    <row r="20" spans="2:7" ht="15" customHeight="1" x14ac:dyDescent="0.35">
      <c r="B20" s="161" t="s">
        <v>995</v>
      </c>
      <c r="C20" s="157" t="s">
        <v>77</v>
      </c>
      <c r="D20" s="165">
        <f>SUMPRODUCT((tbl_scenario_drivers[driver_name]="creation_monthly_acv")*(tbl_scenario_drivers[segment]="SMB")*CHOOSE(MATCH('Forecast Drivers'!$D$10,{"Bear","Base","Bull"},0),tbl_scenario_drivers[Bear],tbl_scenario_drivers[Base],tbl_scenario_drivers[Bull]))</f>
        <v>472074.39583333331</v>
      </c>
      <c r="E20" s="165">
        <f>SUMPRODUCT((tbl_scenario_drivers[driver_name]="creation_monthly_acv")*(tbl_scenario_drivers[segment]="SMB")*tbl_scenario_drivers[Base])</f>
        <v>472074.39583333331</v>
      </c>
      <c r="F20" s="163">
        <f t="shared" si="0"/>
        <v>1</v>
      </c>
      <c r="G20" s="317" t="s">
        <v>470</v>
      </c>
    </row>
    <row r="21" spans="2:7" ht="15" customHeight="1" x14ac:dyDescent="0.35">
      <c r="B21" s="161" t="s">
        <v>995</v>
      </c>
      <c r="C21" s="157" t="s">
        <v>78</v>
      </c>
      <c r="D21" s="165">
        <f>SUMPRODUCT((tbl_scenario_drivers[driver_name]="creation_monthly_acv")*(tbl_scenario_drivers[segment]="Mid-Market")*CHOOSE(MATCH('Forecast Drivers'!$D$10,{"Bear","Base","Bull"},0),tbl_scenario_drivers[Bear],tbl_scenario_drivers[Base],tbl_scenario_drivers[Bull]))</f>
        <v>797029.78749999998</v>
      </c>
      <c r="E21" s="165">
        <f>SUMPRODUCT((tbl_scenario_drivers[driver_name]="creation_monthly_acv")*(tbl_scenario_drivers[segment]="Mid-Market")*tbl_scenario_drivers[Base])</f>
        <v>797029.78749999998</v>
      </c>
      <c r="F21" s="163">
        <f t="shared" si="0"/>
        <v>1</v>
      </c>
      <c r="G21" s="317" t="s">
        <v>470</v>
      </c>
    </row>
    <row r="22" spans="2:7" ht="15" customHeight="1" x14ac:dyDescent="0.35">
      <c r="B22" s="161" t="s">
        <v>995</v>
      </c>
      <c r="C22" s="157" t="s">
        <v>79</v>
      </c>
      <c r="D22" s="165">
        <f>SUMPRODUCT((tbl_scenario_drivers[driver_name]="creation_monthly_acv")*(tbl_scenario_drivers[segment]="Enterprise")*CHOOSE(MATCH('Forecast Drivers'!$D$10,{"Bear","Base","Bull"},0),tbl_scenario_drivers[Bear],tbl_scenario_drivers[Base],tbl_scenario_drivers[Bull]))</f>
        <v>684435.09250000003</v>
      </c>
      <c r="E22" s="165">
        <f>SUMPRODUCT((tbl_scenario_drivers[driver_name]="creation_monthly_acv")*(tbl_scenario_drivers[segment]="Enterprise")*tbl_scenario_drivers[Base])</f>
        <v>684435.09250000003</v>
      </c>
      <c r="F22" s="163">
        <f t="shared" si="0"/>
        <v>1</v>
      </c>
      <c r="G22" s="317" t="s">
        <v>470</v>
      </c>
    </row>
    <row r="23" spans="2:7" ht="15" customHeight="1" x14ac:dyDescent="0.35">
      <c r="B23" s="161" t="s">
        <v>996</v>
      </c>
      <c r="C23" s="157" t="s">
        <v>77</v>
      </c>
      <c r="D23" s="166">
        <f>SUMPRODUCT((tbl_scenario_drivers[driver_name]="monthly_rate_of_beginning_arr")*(tbl_scenario_drivers[segment]="SMB")*CHOOSE(MATCH('Forecast Drivers'!$D$10,{"Bear","Base","Bull"},0),tbl_scenario_drivers[Bear],tbl_scenario_drivers[Base],tbl_scenario_drivers[Bull]))</f>
        <v>1.04526889619175E-2</v>
      </c>
      <c r="E23" s="166">
        <f>SUMPRODUCT((tbl_scenario_drivers[driver_name]="monthly_rate_of_beginning_arr")*(tbl_scenario_drivers[segment]="SMB")*tbl_scenario_drivers[Base])</f>
        <v>1.04526889619175E-2</v>
      </c>
      <c r="F23" s="163">
        <f t="shared" si="0"/>
        <v>1</v>
      </c>
      <c r="G23" s="317" t="s">
        <v>423</v>
      </c>
    </row>
    <row r="24" spans="2:7" ht="15" customHeight="1" x14ac:dyDescent="0.35">
      <c r="B24" s="161" t="s">
        <v>996</v>
      </c>
      <c r="C24" s="157" t="s">
        <v>78</v>
      </c>
      <c r="D24" s="166">
        <f>SUMPRODUCT((tbl_scenario_drivers[driver_name]="monthly_rate_of_beginning_arr")*(tbl_scenario_drivers[segment]="Mid-Market")*CHOOSE(MATCH('Forecast Drivers'!$D$10,{"Bear","Base","Bull"},0),tbl_scenario_drivers[Bear],tbl_scenario_drivers[Base],tbl_scenario_drivers[Bull]))</f>
        <v>2.2201610155701101E-2</v>
      </c>
      <c r="E24" s="166">
        <f>SUMPRODUCT((tbl_scenario_drivers[driver_name]="monthly_rate_of_beginning_arr")*(tbl_scenario_drivers[segment]="Mid-Market")*tbl_scenario_drivers[Base])</f>
        <v>2.2201610155701101E-2</v>
      </c>
      <c r="F24" s="163">
        <f t="shared" si="0"/>
        <v>1</v>
      </c>
      <c r="G24" s="317" t="s">
        <v>423</v>
      </c>
    </row>
    <row r="25" spans="2:7" ht="15" customHeight="1" x14ac:dyDescent="0.35">
      <c r="B25" s="161" t="s">
        <v>996</v>
      </c>
      <c r="C25" s="157" t="s">
        <v>79</v>
      </c>
      <c r="D25" s="166">
        <f>SUMPRODUCT((tbl_scenario_drivers[driver_name]="monthly_rate_of_beginning_arr")*(tbl_scenario_drivers[segment]="Enterprise")*CHOOSE(MATCH('Forecast Drivers'!$D$10,{"Bear","Base","Bull"},0),tbl_scenario_drivers[Bear],tbl_scenario_drivers[Base],tbl_scenario_drivers[Bull]))</f>
        <v>9.4198825827486992E-3</v>
      </c>
      <c r="E25" s="166">
        <f>SUMPRODUCT((tbl_scenario_drivers[driver_name]="monthly_rate_of_beginning_arr")*(tbl_scenario_drivers[segment]="Enterprise")*tbl_scenario_drivers[Base])</f>
        <v>9.4198825827486992E-3</v>
      </c>
      <c r="F25" s="163">
        <f t="shared" si="0"/>
        <v>1</v>
      </c>
      <c r="G25" s="317" t="s">
        <v>423</v>
      </c>
    </row>
    <row r="26" spans="2:7" ht="15" customHeight="1" x14ac:dyDescent="0.35">
      <c r="B26" s="161" t="s">
        <v>997</v>
      </c>
      <c r="C26" s="157" t="s">
        <v>77</v>
      </c>
      <c r="D26" s="164">
        <f>SUMPRODUCT((tbl_scenario_drivers[driver_name]="churn_share_of_atr")*(tbl_scenario_drivers[segment]="SMB")*CHOOSE(MATCH('Forecast Drivers'!$D$10,{"Bear","Base","Bull"},0),tbl_scenario_drivers[Bear],tbl_scenario_drivers[Base],tbl_scenario_drivers[Bull]))</f>
        <v>0.25054225955660919</v>
      </c>
      <c r="E26" s="164">
        <f>SUMPRODUCT((tbl_scenario_drivers[driver_name]="churn_share_of_atr")*(tbl_scenario_drivers[segment]="SMB")*tbl_scenario_drivers[Base])</f>
        <v>0.25054225955660919</v>
      </c>
      <c r="F26" s="163">
        <f t="shared" si="0"/>
        <v>1</v>
      </c>
      <c r="G26" s="317" t="s">
        <v>423</v>
      </c>
    </row>
    <row r="27" spans="2:7" ht="15" customHeight="1" x14ac:dyDescent="0.35">
      <c r="B27" s="161" t="s">
        <v>997</v>
      </c>
      <c r="C27" s="157" t="s">
        <v>78</v>
      </c>
      <c r="D27" s="164">
        <f>SUMPRODUCT((tbl_scenario_drivers[driver_name]="churn_share_of_atr")*(tbl_scenario_drivers[segment]="Mid-Market")*CHOOSE(MATCH('Forecast Drivers'!$D$10,{"Bear","Base","Bull"},0),tbl_scenario_drivers[Bear],tbl_scenario_drivers[Base],tbl_scenario_drivers[Bull]))</f>
        <v>9.3538977323443295E-2</v>
      </c>
      <c r="E27" s="164">
        <f>SUMPRODUCT((tbl_scenario_drivers[driver_name]="churn_share_of_atr")*(tbl_scenario_drivers[segment]="Mid-Market")*tbl_scenario_drivers[Base])</f>
        <v>9.3538977323443295E-2</v>
      </c>
      <c r="F27" s="163">
        <f t="shared" si="0"/>
        <v>1</v>
      </c>
      <c r="G27" s="317" t="s">
        <v>423</v>
      </c>
    </row>
    <row r="28" spans="2:7" ht="15" customHeight="1" x14ac:dyDescent="0.35">
      <c r="B28" s="161" t="s">
        <v>997</v>
      </c>
      <c r="C28" s="157" t="s">
        <v>79</v>
      </c>
      <c r="D28" s="164">
        <f>SUMPRODUCT((tbl_scenario_drivers[driver_name]="churn_share_of_atr")*(tbl_scenario_drivers[segment]="Enterprise")*CHOOSE(MATCH('Forecast Drivers'!$D$10,{"Bear","Base","Bull"},0),tbl_scenario_drivers[Bear],tbl_scenario_drivers[Base],tbl_scenario_drivers[Bull]))</f>
        <v>8.9585081626998506E-2</v>
      </c>
      <c r="E28" s="164">
        <f>SUMPRODUCT((tbl_scenario_drivers[driver_name]="churn_share_of_atr")*(tbl_scenario_drivers[segment]="Enterprise")*tbl_scenario_drivers[Base])</f>
        <v>8.9585081626998506E-2</v>
      </c>
      <c r="F28" s="163">
        <f t="shared" si="0"/>
        <v>1</v>
      </c>
      <c r="G28" s="317" t="s">
        <v>423</v>
      </c>
    </row>
    <row r="29" spans="2:7" ht="15" customHeight="1" x14ac:dyDescent="0.35">
      <c r="B29" s="161" t="s">
        <v>998</v>
      </c>
      <c r="C29" s="157" t="s">
        <v>77</v>
      </c>
      <c r="D29" s="164">
        <f>SUMPRODUCT((tbl_scenario_drivers[driver_name]="contraction_share_of_atr")*(tbl_scenario_drivers[segment]="SMB")*CHOOSE(MATCH('Forecast Drivers'!$D$10,{"Bear","Base","Bull"},0),tbl_scenario_drivers[Bear],tbl_scenario_drivers[Base],tbl_scenario_drivers[Bull]))</f>
        <v>6.5925052933016801E-2</v>
      </c>
      <c r="E29" s="164">
        <f>SUMPRODUCT((tbl_scenario_drivers[driver_name]="contraction_share_of_atr")*(tbl_scenario_drivers[segment]="SMB")*tbl_scenario_drivers[Base])</f>
        <v>6.5925052933016801E-2</v>
      </c>
      <c r="F29" s="163">
        <f t="shared" si="0"/>
        <v>1</v>
      </c>
      <c r="G29" s="317" t="s">
        <v>423</v>
      </c>
    </row>
    <row r="30" spans="2:7" ht="15" customHeight="1" x14ac:dyDescent="0.35">
      <c r="B30" s="161" t="s">
        <v>998</v>
      </c>
      <c r="C30" s="157" t="s">
        <v>78</v>
      </c>
      <c r="D30" s="164">
        <f>SUMPRODUCT((tbl_scenario_drivers[driver_name]="contraction_share_of_atr")*(tbl_scenario_drivers[segment]="Mid-Market")*CHOOSE(MATCH('Forecast Drivers'!$D$10,{"Bear","Base","Bull"},0),tbl_scenario_drivers[Bear],tbl_scenario_drivers[Base],tbl_scenario_drivers[Bull]))</f>
        <v>9.4174820710236695E-2</v>
      </c>
      <c r="E30" s="164">
        <f>SUMPRODUCT((tbl_scenario_drivers[driver_name]="contraction_share_of_atr")*(tbl_scenario_drivers[segment]="Mid-Market")*tbl_scenario_drivers[Base])</f>
        <v>9.4174820710236695E-2</v>
      </c>
      <c r="F30" s="163">
        <f t="shared" si="0"/>
        <v>1</v>
      </c>
      <c r="G30" s="317" t="s">
        <v>423</v>
      </c>
    </row>
    <row r="31" spans="2:7" ht="15" customHeight="1" x14ac:dyDescent="0.35">
      <c r="B31" s="161" t="s">
        <v>998</v>
      </c>
      <c r="C31" s="157" t="s">
        <v>79</v>
      </c>
      <c r="D31" s="164">
        <f>SUMPRODUCT((tbl_scenario_drivers[driver_name]="contraction_share_of_atr")*(tbl_scenario_drivers[segment]="Enterprise")*CHOOSE(MATCH('Forecast Drivers'!$D$10,{"Bear","Base","Bull"},0),tbl_scenario_drivers[Bear],tbl_scenario_drivers[Base],tbl_scenario_drivers[Bull]))</f>
        <v>7.2650904741887803E-2</v>
      </c>
      <c r="E31" s="164">
        <f>SUMPRODUCT((tbl_scenario_drivers[driver_name]="contraction_share_of_atr")*(tbl_scenario_drivers[segment]="Enterprise")*tbl_scenario_drivers[Base])</f>
        <v>7.2650904741887803E-2</v>
      </c>
      <c r="F31" s="163">
        <f t="shared" si="0"/>
        <v>1</v>
      </c>
      <c r="G31" s="317" t="s">
        <v>423</v>
      </c>
    </row>
    <row r="32" spans="2:7" ht="15" customHeight="1" x14ac:dyDescent="0.35">
      <c r="B32" s="161" t="s">
        <v>999</v>
      </c>
      <c r="C32" s="157" t="s">
        <v>77</v>
      </c>
      <c r="D32" s="165">
        <f>SUMPRODUCT((tbl_scenario_drivers[driver_name]="baseline_nonatr_churn_monthly")*(tbl_scenario_drivers[segment]="SMB")*CHOOSE(MATCH('Forecast Drivers'!$D$10,{"Bear","Base","Bull"},0),tbl_scenario_drivers[Bear],tbl_scenario_drivers[Base],tbl_scenario_drivers[Bull]))</f>
        <v>70975</v>
      </c>
      <c r="E32" s="165">
        <f>SUMPRODUCT((tbl_scenario_drivers[driver_name]="baseline_nonatr_churn_monthly")*(tbl_scenario_drivers[segment]="SMB")*tbl_scenario_drivers[Base])</f>
        <v>70975</v>
      </c>
      <c r="F32" s="163">
        <f t="shared" si="0"/>
        <v>1</v>
      </c>
      <c r="G32" s="317" t="s">
        <v>470</v>
      </c>
    </row>
    <row r="33" spans="2:10" ht="15" customHeight="1" x14ac:dyDescent="0.35">
      <c r="B33" s="161" t="s">
        <v>1000</v>
      </c>
      <c r="C33" s="157" t="s">
        <v>77</v>
      </c>
      <c r="D33" s="165">
        <f>SUMPRODUCT((tbl_scenario_drivers[driver_name]="baseline_nonatr_contraction_monthly")*(tbl_scenario_drivers[segment]="SMB")*CHOOSE(MATCH('Forecast Drivers'!$D$10,{"Bear","Base","Bull"},0),tbl_scenario_drivers[Bear],tbl_scenario_drivers[Base],tbl_scenario_drivers[Bull]))</f>
        <v>6636.4000000000005</v>
      </c>
      <c r="E33" s="165">
        <f>SUMPRODUCT((tbl_scenario_drivers[driver_name]="baseline_nonatr_contraction_monthly")*(tbl_scenario_drivers[segment]="SMB")*tbl_scenario_drivers[Base])</f>
        <v>6636.4000000000005</v>
      </c>
      <c r="F33" s="163">
        <f t="shared" si="0"/>
        <v>1</v>
      </c>
      <c r="G33" s="317" t="s">
        <v>470</v>
      </c>
    </row>
    <row r="34" spans="2:10" x14ac:dyDescent="0.35">
      <c r="B34" s="134" t="s">
        <v>1001</v>
      </c>
      <c r="G34" s="318"/>
    </row>
    <row r="36" spans="2:10" ht="18" customHeight="1" thickBot="1" x14ac:dyDescent="0.4">
      <c r="B36" s="135" t="s">
        <v>1002</v>
      </c>
      <c r="C36" s="136"/>
      <c r="D36" s="136"/>
      <c r="E36" s="136"/>
      <c r="F36" s="136"/>
      <c r="G36" s="136"/>
      <c r="H36" s="136"/>
      <c r="I36" s="136"/>
      <c r="J36" s="136"/>
    </row>
    <row r="37" spans="2:10" ht="17" customHeight="1" x14ac:dyDescent="0.35">
      <c r="B37" s="299" t="s">
        <v>1003</v>
      </c>
      <c r="C37" s="299"/>
      <c r="D37" s="299"/>
      <c r="E37" s="299"/>
      <c r="F37" s="299"/>
      <c r="G37" s="299"/>
      <c r="H37" s="299"/>
      <c r="I37" s="299"/>
      <c r="J37" s="299"/>
    </row>
    <row r="38" spans="2:10" ht="7" customHeight="1" x14ac:dyDescent="0.35"/>
    <row r="39" spans="2:10" ht="26" customHeight="1" x14ac:dyDescent="0.35">
      <c r="B39" s="139" t="s">
        <v>70</v>
      </c>
      <c r="C39" s="160"/>
      <c r="D39" s="160" t="s">
        <v>1004</v>
      </c>
    </row>
    <row r="40" spans="2:10" ht="15" customHeight="1" x14ac:dyDescent="0.35">
      <c r="B40" s="161" t="s">
        <v>77</v>
      </c>
      <c r="D40" s="165">
        <f>SUMIFS(tbl_arr_monthly[ending_arr],tbl_arr_monthly[month_label],"Jun-26",tbl_arr_monthly[segment],"SMB")</f>
        <v>4824788.88</v>
      </c>
    </row>
    <row r="41" spans="2:10" ht="15" customHeight="1" x14ac:dyDescent="0.35">
      <c r="B41" s="161" t="s">
        <v>78</v>
      </c>
      <c r="D41" s="165">
        <f>SUMIFS(tbl_arr_monthly[ending_arr],tbl_arr_monthly[month_label],"Jun-26",tbl_arr_monthly[segment],"Mid-Market")</f>
        <v>15499827.359999999</v>
      </c>
    </row>
    <row r="42" spans="2:10" ht="15" customHeight="1" x14ac:dyDescent="0.35">
      <c r="B42" s="161" t="s">
        <v>79</v>
      </c>
      <c r="D42" s="165">
        <f>SUMIFS(tbl_arr_monthly[ending_arr],tbl_arr_monthly[month_label],"Jun-26",tbl_arr_monthly[segment],"Enterprise")</f>
        <v>12692104.08</v>
      </c>
    </row>
    <row r="43" spans="2:10" ht="15" customHeight="1" x14ac:dyDescent="0.35">
      <c r="B43" s="158" t="s">
        <v>1005</v>
      </c>
      <c r="D43" s="167">
        <f>SUM(D40:D42)</f>
        <v>33016720.32</v>
      </c>
    </row>
    <row r="45" spans="2:10" ht="18" customHeight="1" thickBot="1" x14ac:dyDescent="0.4">
      <c r="B45" s="135" t="s">
        <v>1006</v>
      </c>
      <c r="C45" s="136"/>
      <c r="D45" s="136"/>
      <c r="E45" s="136"/>
      <c r="F45" s="136"/>
      <c r="G45" s="136"/>
      <c r="H45" s="136"/>
      <c r="I45" s="136"/>
      <c r="J45" s="136"/>
    </row>
    <row r="46" spans="2:10" ht="30" customHeight="1" x14ac:dyDescent="0.35">
      <c r="B46" s="299" t="s">
        <v>1113</v>
      </c>
      <c r="C46" s="299"/>
      <c r="D46" s="299"/>
      <c r="E46" s="299"/>
      <c r="F46" s="299"/>
      <c r="G46" s="299"/>
      <c r="H46" s="299"/>
      <c r="I46" s="299"/>
      <c r="J46" s="299"/>
    </row>
    <row r="47" spans="2:10" ht="7" customHeight="1" x14ac:dyDescent="0.35"/>
    <row r="48" spans="2:10" ht="26" customHeight="1" x14ac:dyDescent="0.35">
      <c r="B48" s="139" t="s">
        <v>1107</v>
      </c>
      <c r="C48" s="160"/>
      <c r="D48" s="168" t="s">
        <v>59</v>
      </c>
      <c r="E48" s="168" t="s">
        <v>61</v>
      </c>
      <c r="F48" s="168" t="s">
        <v>63</v>
      </c>
      <c r="G48" s="168" t="s">
        <v>64</v>
      </c>
      <c r="H48" s="168" t="s">
        <v>65</v>
      </c>
      <c r="I48" s="168" t="s">
        <v>66</v>
      </c>
    </row>
    <row r="49" spans="2:10" ht="15" customHeight="1" x14ac:dyDescent="0.35">
      <c r="B49" s="158" t="s">
        <v>1110</v>
      </c>
      <c r="C49" s="157" t="s">
        <v>1111</v>
      </c>
      <c r="D49" s="174" t="str">
        <f t="shared" ref="D49:I49" si="1">IF(MATCH(D$48,$D$48:$I$48,0)&lt;=$D$50,"CRM snapshot","Forward creation")</f>
        <v>CRM snapshot</v>
      </c>
      <c r="E49" s="174" t="str">
        <f t="shared" si="1"/>
        <v>CRM snapshot</v>
      </c>
      <c r="F49" s="174" t="str">
        <f t="shared" si="1"/>
        <v>CRM snapshot</v>
      </c>
      <c r="G49" s="174" t="str">
        <f t="shared" si="1"/>
        <v>CRM snapshot</v>
      </c>
      <c r="H49" s="174" t="str">
        <f t="shared" si="1"/>
        <v>Forward creation</v>
      </c>
      <c r="I49" s="174" t="str">
        <f t="shared" si="1"/>
        <v>Forward creation</v>
      </c>
    </row>
    <row r="50" spans="2:10" ht="15" customHeight="1" x14ac:dyDescent="0.35">
      <c r="B50" s="161" t="s">
        <v>1108</v>
      </c>
      <c r="D50" s="182">
        <v>4</v>
      </c>
      <c r="E50" s="157" t="s">
        <v>1109</v>
      </c>
    </row>
    <row r="51" spans="2:10" ht="57.65" customHeight="1" x14ac:dyDescent="0.35">
      <c r="B51" s="180" t="s">
        <v>1112</v>
      </c>
    </row>
    <row r="52" spans="2:10" ht="26" customHeight="1" x14ac:dyDescent="0.35">
      <c r="B52" s="139" t="s">
        <v>77</v>
      </c>
      <c r="C52" s="160"/>
      <c r="D52" s="168" t="s">
        <v>59</v>
      </c>
      <c r="E52" s="168" t="s">
        <v>61</v>
      </c>
      <c r="F52" s="168" t="s">
        <v>63</v>
      </c>
      <c r="G52" s="168" t="s">
        <v>64</v>
      </c>
      <c r="H52" s="168" t="s">
        <v>65</v>
      </c>
      <c r="I52" s="168" t="s">
        <v>66</v>
      </c>
      <c r="J52" s="160" t="s">
        <v>370</v>
      </c>
    </row>
    <row r="53" spans="2:10" ht="15" customHeight="1" x14ac:dyDescent="0.35">
      <c r="B53" s="169" t="s">
        <v>1007</v>
      </c>
      <c r="D53" s="165">
        <f>SUMIFS(tbl_gtm_monthly[new_logo_capacity],tbl_gtm_monthly[month_label],D$52,tbl_gtm_monthly[segment],"SMB")*$F$16</f>
        <v>116171.043027238</v>
      </c>
      <c r="E53" s="165">
        <f>SUMIFS(tbl_gtm_monthly[new_logo_capacity],tbl_gtm_monthly[month_label],E$52,tbl_gtm_monthly[segment],"SMB")*$F$16</f>
        <v>113292.3360627962</v>
      </c>
      <c r="F53" s="165">
        <f>SUMIFS(tbl_gtm_monthly[new_logo_capacity],tbl_gtm_monthly[month_label],F$52,tbl_gtm_monthly[segment],"SMB")*$F$16</f>
        <v>116441.1080040293</v>
      </c>
      <c r="G53" s="165">
        <f>SUMIFS(tbl_gtm_monthly[new_logo_capacity],tbl_gtm_monthly[month_label],G$52,tbl_gtm_monthly[segment],"SMB")*$F$16</f>
        <v>119659.4463680192</v>
      </c>
      <c r="H53" s="165">
        <f>SUMIFS(tbl_gtm_monthly[new_logo_capacity],tbl_gtm_monthly[month_label],H$52,tbl_gtm_monthly[segment],"SMB")*$F$16</f>
        <v>122945.6273056855</v>
      </c>
      <c r="I53" s="165">
        <f>SUMIFS(tbl_gtm_monthly[new_logo_capacity],tbl_gtm_monthly[month_label],I$52,tbl_gtm_monthly[segment],"SMB")*$F$16</f>
        <v>126297.9696847577</v>
      </c>
      <c r="J53" s="167">
        <f>SUM(D53:I53)</f>
        <v>714807.53045252594</v>
      </c>
    </row>
    <row r="54" spans="2:10" ht="15" customHeight="1" x14ac:dyDescent="0.35">
      <c r="B54" s="169" t="s">
        <v>107</v>
      </c>
      <c r="C54" t="s">
        <v>1117</v>
      </c>
      <c r="D54" s="165">
        <f>SUMIFS(tbl_gtm_monthly[pipeline_supported_bookings],tbl_gtm_monthly[month_label],D$52,tbl_gtm_monthly[segment],"SMB")*$F$17*IF(D$49="Forward creation",$F$20,1)</f>
        <v>135724.894606947</v>
      </c>
      <c r="E54" s="165">
        <f>SUMIFS(tbl_gtm_monthly[pipeline_supported_bookings],tbl_gtm_monthly[month_label],E$52,tbl_gtm_monthly[segment],"SMB")*$F$17*IF(E$49="Forward creation",$F$20,1)</f>
        <v>3638.936946983546</v>
      </c>
      <c r="F54" s="165">
        <f>SUMIFS(tbl_gtm_monthly[pipeline_supported_bookings],tbl_gtm_monthly[month_label],F$52,tbl_gtm_monthly[segment],"SMB")*$F$17*IF(F$49="Forward creation",$F$20,1)</f>
        <v>0</v>
      </c>
      <c r="G54" s="165">
        <f>SUMIFS(tbl_gtm_monthly[pipeline_supported_bookings],tbl_gtm_monthly[month_label],G$52,tbl_gtm_monthly[segment],"SMB")*$F$17*IF(G$49="Forward creation",$F$20,1)</f>
        <v>0</v>
      </c>
      <c r="H54" s="165">
        <f>SUMIFS(tbl_gtm_monthly[pipeline_supported_bookings],tbl_gtm_monthly[month_label],H$52,tbl_gtm_monthly[segment],"SMB")*$F$17*IF(H$49="Forward creation",$F$20,1)</f>
        <v>123412.50201858619</v>
      </c>
      <c r="I54" s="165">
        <f>SUMIFS(tbl_gtm_monthly[pipeline_supported_bookings],tbl_gtm_monthly[month_label],I$52,tbl_gtm_monthly[segment],"SMB")*$F$17*IF(I$49="Forward creation",$F$20,1)</f>
        <v>123412.50201858619</v>
      </c>
      <c r="J54" s="167">
        <f>SUM(D54:I54)</f>
        <v>386188.83559110295</v>
      </c>
    </row>
    <row r="55" spans="2:10" ht="15" customHeight="1" x14ac:dyDescent="0.35">
      <c r="B55" s="170" t="s">
        <v>1008</v>
      </c>
      <c r="D55" s="167">
        <f t="shared" ref="D55:I55" si="2">MIN(D53,D54)</f>
        <v>116171.043027238</v>
      </c>
      <c r="E55" s="167">
        <f t="shared" si="2"/>
        <v>3638.936946983546</v>
      </c>
      <c r="F55" s="167">
        <f t="shared" si="2"/>
        <v>0</v>
      </c>
      <c r="G55" s="167">
        <f t="shared" si="2"/>
        <v>0</v>
      </c>
      <c r="H55" s="167">
        <f t="shared" si="2"/>
        <v>122945.6273056855</v>
      </c>
      <c r="I55" s="167">
        <f t="shared" si="2"/>
        <v>123412.50201858619</v>
      </c>
      <c r="J55" s="167">
        <f>SUM(D55:I55)</f>
        <v>366168.10929849325</v>
      </c>
    </row>
    <row r="56" spans="2:10" ht="15" customHeight="1" x14ac:dyDescent="0.35">
      <c r="B56" s="169" t="s">
        <v>109</v>
      </c>
      <c r="D56" s="162" t="str">
        <f t="shared" ref="D56:I56" si="3">IF(D54&lt;D53,"Pipeline","Capacity")</f>
        <v>Capacity</v>
      </c>
      <c r="E56" s="162" t="str">
        <f t="shared" si="3"/>
        <v>Pipeline</v>
      </c>
      <c r="F56" s="162" t="str">
        <f t="shared" si="3"/>
        <v>Pipeline</v>
      </c>
      <c r="G56" s="162" t="str">
        <f t="shared" si="3"/>
        <v>Pipeline</v>
      </c>
      <c r="H56" s="162" t="str">
        <f t="shared" si="3"/>
        <v>Capacity</v>
      </c>
      <c r="I56" s="162" t="str">
        <f t="shared" si="3"/>
        <v>Pipeline</v>
      </c>
    </row>
    <row r="57" spans="2:10" ht="7" customHeight="1" x14ac:dyDescent="0.35"/>
    <row r="58" spans="2:10" ht="26" customHeight="1" x14ac:dyDescent="0.35">
      <c r="B58" s="139" t="s">
        <v>78</v>
      </c>
      <c r="C58" s="160"/>
      <c r="D58" s="168" t="s">
        <v>59</v>
      </c>
      <c r="E58" s="168" t="s">
        <v>61</v>
      </c>
      <c r="F58" s="168" t="s">
        <v>63</v>
      </c>
      <c r="G58" s="168" t="s">
        <v>64</v>
      </c>
      <c r="H58" s="168" t="s">
        <v>65</v>
      </c>
      <c r="I58" s="168" t="s">
        <v>66</v>
      </c>
      <c r="J58" s="160" t="s">
        <v>370</v>
      </c>
    </row>
    <row r="59" spans="2:10" ht="15" customHeight="1" x14ac:dyDescent="0.35">
      <c r="B59" s="169" t="s">
        <v>1007</v>
      </c>
      <c r="D59" s="165">
        <f>SUMIFS(tbl_gtm_monthly[new_logo_capacity],tbl_gtm_monthly[month_label],D$58,tbl_gtm_monthly[segment],"Mid-Market")*$F$16</f>
        <v>181984.74013853859</v>
      </c>
      <c r="E59" s="165">
        <f>SUMIFS(tbl_gtm_monthly[new_logo_capacity],tbl_gtm_monthly[month_label],E$58,tbl_gtm_monthly[segment],"Mid-Market")*$F$16</f>
        <v>177475.17626438019</v>
      </c>
      <c r="F59" s="165">
        <f>SUMIFS(tbl_gtm_monthly[new_logo_capacity],tbl_gtm_monthly[month_label],F$58,tbl_gtm_monthly[segment],"Mid-Market")*$F$16</f>
        <v>186406.56536510331</v>
      </c>
      <c r="G59" s="165">
        <f>SUMIFS(tbl_gtm_monthly[new_logo_capacity],tbl_gtm_monthly[month_label],G$58,tbl_gtm_monthly[segment],"Mid-Market")*$F$16</f>
        <v>195446.93194453249</v>
      </c>
      <c r="H59" s="165">
        <f>SUMIFS(tbl_gtm_monthly[new_logo_capacity],tbl_gtm_monthly[month_label],H$58,tbl_gtm_monthly[segment],"Mid-Market")*$F$16</f>
        <v>204593.575551516</v>
      </c>
      <c r="I59" s="165">
        <f>SUMIFS(tbl_gtm_monthly[new_logo_capacity],tbl_gtm_monthly[month_label],I$58,tbl_gtm_monthly[segment],"Mid-Market")*$F$16</f>
        <v>213843.86265181511</v>
      </c>
      <c r="J59" s="167">
        <f>SUM(D59:I59)</f>
        <v>1159750.8519158857</v>
      </c>
    </row>
    <row r="60" spans="2:10" ht="15" customHeight="1" x14ac:dyDescent="0.35">
      <c r="B60" s="169" t="s">
        <v>107</v>
      </c>
      <c r="C60" t="s">
        <v>1117</v>
      </c>
      <c r="D60" s="165">
        <f>SUMIFS(tbl_gtm_monthly[pipeline_supported_bookings],tbl_gtm_monthly[month_label],D$58,tbl_gtm_monthly[segment],"Mid-Market")*$F$18*IF(D$49="Forward creation",$F$21,1)</f>
        <v>198490.62898550721</v>
      </c>
      <c r="E60" s="165">
        <f>SUMIFS(tbl_gtm_monthly[pipeline_supported_bookings],tbl_gtm_monthly[month_label],E$58,tbl_gtm_monthly[segment],"Mid-Market")*$F$18*IF(E$49="Forward creation",$F$21,1)</f>
        <v>29156.927681159421</v>
      </c>
      <c r="F60" s="165">
        <f>SUMIFS(tbl_gtm_monthly[pipeline_supported_bookings],tbl_gtm_monthly[month_label],F$58,tbl_gtm_monthly[segment],"Mid-Market")*$F$18*IF(F$49="Forward creation",$F$21,1)</f>
        <v>10415.98618357488</v>
      </c>
      <c r="G60" s="165">
        <f>SUMIFS(tbl_gtm_monthly[pipeline_supported_bookings],tbl_gtm_monthly[month_label],G$58,tbl_gtm_monthly[segment],"Mid-Market")*$F$18*IF(G$49="Forward creation",$F$21,1)</f>
        <v>11305.866570048311</v>
      </c>
      <c r="H60" s="165">
        <f>SUMIFS(tbl_gtm_monthly[pipeline_supported_bookings],tbl_gtm_monthly[month_label],H$58,tbl_gtm_monthly[segment],"Mid-Market")*$F$18*IF(H$49="Forward creation",$F$21,1)</f>
        <v>142464.2615338164</v>
      </c>
      <c r="I60" s="165">
        <f>SUMIFS(tbl_gtm_monthly[pipeline_supported_bookings],tbl_gtm_monthly[month_label],I$58,tbl_gtm_monthly[segment],"Mid-Market")*$F$18*IF(I$49="Forward creation",$F$21,1)</f>
        <v>142464.2615338164</v>
      </c>
      <c r="J60" s="167">
        <f>SUM(D60:I60)</f>
        <v>534297.93248792272</v>
      </c>
    </row>
    <row r="61" spans="2:10" ht="15" customHeight="1" x14ac:dyDescent="0.35">
      <c r="B61" s="170" t="s">
        <v>1008</v>
      </c>
      <c r="D61" s="167">
        <f t="shared" ref="D61:I61" si="4">MIN(D59,D60)</f>
        <v>181984.74013853859</v>
      </c>
      <c r="E61" s="167">
        <f t="shared" si="4"/>
        <v>29156.927681159421</v>
      </c>
      <c r="F61" s="167">
        <f t="shared" si="4"/>
        <v>10415.98618357488</v>
      </c>
      <c r="G61" s="167">
        <f t="shared" si="4"/>
        <v>11305.866570048311</v>
      </c>
      <c r="H61" s="167">
        <f t="shared" si="4"/>
        <v>142464.2615338164</v>
      </c>
      <c r="I61" s="167">
        <f t="shared" si="4"/>
        <v>142464.2615338164</v>
      </c>
      <c r="J61" s="167">
        <f>SUM(D61:I61)</f>
        <v>517792.04364095401</v>
      </c>
    </row>
    <row r="62" spans="2:10" ht="15" customHeight="1" x14ac:dyDescent="0.35">
      <c r="B62" s="169" t="s">
        <v>109</v>
      </c>
      <c r="D62" s="162" t="str">
        <f t="shared" ref="D62:I62" si="5">IF(D60&lt;D59,"Pipeline","Capacity")</f>
        <v>Capacity</v>
      </c>
      <c r="E62" s="162" t="str">
        <f t="shared" si="5"/>
        <v>Pipeline</v>
      </c>
      <c r="F62" s="162" t="str">
        <f t="shared" si="5"/>
        <v>Pipeline</v>
      </c>
      <c r="G62" s="162" t="str">
        <f t="shared" si="5"/>
        <v>Pipeline</v>
      </c>
      <c r="H62" s="162" t="str">
        <f t="shared" si="5"/>
        <v>Pipeline</v>
      </c>
      <c r="I62" s="162" t="str">
        <f t="shared" si="5"/>
        <v>Pipeline</v>
      </c>
    </row>
    <row r="63" spans="2:10" ht="7" customHeight="1" x14ac:dyDescent="0.35"/>
    <row r="64" spans="2:10" ht="26" customHeight="1" x14ac:dyDescent="0.35">
      <c r="B64" s="139" t="s">
        <v>79</v>
      </c>
      <c r="C64" s="160"/>
      <c r="D64" s="168" t="s">
        <v>59</v>
      </c>
      <c r="E64" s="168" t="s">
        <v>61</v>
      </c>
      <c r="F64" s="168" t="s">
        <v>63</v>
      </c>
      <c r="G64" s="168" t="s">
        <v>64</v>
      </c>
      <c r="H64" s="168" t="s">
        <v>65</v>
      </c>
      <c r="I64" s="168" t="s">
        <v>66</v>
      </c>
      <c r="J64" s="160" t="s">
        <v>370</v>
      </c>
    </row>
    <row r="65" spans="2:10" ht="15" customHeight="1" x14ac:dyDescent="0.35">
      <c r="B65" s="169" t="s">
        <v>1007</v>
      </c>
      <c r="D65" s="165">
        <f>SUMIFS(tbl_gtm_monthly[new_logo_capacity],tbl_gtm_monthly[month_label],D$64,tbl_gtm_monthly[segment],"Enterprise")*$F$16</f>
        <v>134458.12465368031</v>
      </c>
      <c r="E65" s="165">
        <f>SUMIFS(tbl_gtm_monthly[new_logo_capacity],tbl_gtm_monthly[month_label],E$64,tbl_gtm_monthly[segment],"Enterprise")*$F$16</f>
        <v>140232.25628157501</v>
      </c>
      <c r="F65" s="165">
        <f>SUMIFS(tbl_gtm_monthly[new_logo_capacity],tbl_gtm_monthly[month_label],F$64,tbl_gtm_monthly[segment],"Enterprise")*$F$16</f>
        <v>159319.85249249521</v>
      </c>
      <c r="G65" s="165">
        <f>SUMIFS(tbl_gtm_monthly[new_logo_capacity],tbl_gtm_monthly[month_label],G$64,tbl_gtm_monthly[segment],"Enterprise")*$F$16</f>
        <v>178778.0947566379</v>
      </c>
      <c r="H65" s="165">
        <f>SUMIFS(tbl_gtm_monthly[new_logo_capacity],tbl_gtm_monthly[month_label],H$64,tbl_gtm_monthly[segment],"Enterprise")*$F$16</f>
        <v>204068.3605756578</v>
      </c>
      <c r="I65" s="165">
        <f>SUMIFS(tbl_gtm_monthly[new_logo_capacity],tbl_gtm_monthly[month_label],I$64,tbl_gtm_monthly[segment],"Enterprise")*$F$16</f>
        <v>229443.71112170321</v>
      </c>
      <c r="J65" s="167">
        <f>SUM(D65:I65)</f>
        <v>1046300.3998817494</v>
      </c>
    </row>
    <row r="66" spans="2:10" ht="15" customHeight="1" x14ac:dyDescent="0.35">
      <c r="B66" s="169" t="s">
        <v>107</v>
      </c>
      <c r="C66" t="s">
        <v>1117</v>
      </c>
      <c r="D66" s="165">
        <f>SUMIFS(tbl_gtm_monthly[pipeline_supported_bookings],tbl_gtm_monthly[month_label],D$64,tbl_gtm_monthly[segment],"Enterprise")*$F$19*IF(D$49="Forward creation",$F$22,1)</f>
        <v>81568.06</v>
      </c>
      <c r="E66" s="165">
        <f>SUMIFS(tbl_gtm_monthly[pipeline_supported_bookings],tbl_gtm_monthly[month_label],E$64,tbl_gtm_monthly[segment],"Enterprise")*$F$19*IF(E$49="Forward creation",$F$22,1)</f>
        <v>46131.047500000001</v>
      </c>
      <c r="F66" s="165">
        <f>SUMIFS(tbl_gtm_monthly[pipeline_supported_bookings],tbl_gtm_monthly[month_label],F$64,tbl_gtm_monthly[segment],"Enterprise")*$F$19*IF(F$49="Forward creation",$F$22,1)</f>
        <v>0</v>
      </c>
      <c r="G66" s="165">
        <f>SUMIFS(tbl_gtm_monthly[pipeline_supported_bookings],tbl_gtm_monthly[month_label],G$64,tbl_gtm_monthly[segment],"Enterprise")*$F$19*IF(G$49="Forward creation",$F$22,1)</f>
        <v>0</v>
      </c>
      <c r="H66" s="165">
        <f>SUMIFS(tbl_gtm_monthly[pipeline_supported_bookings],tbl_gtm_monthly[month_label],H$64,tbl_gtm_monthly[segment],"Enterprise")*$F$19*IF(H$49="Forward creation",$F$22,1)</f>
        <v>85554.386562500003</v>
      </c>
      <c r="I66" s="165">
        <f>SUMIFS(tbl_gtm_monthly[pipeline_supported_bookings],tbl_gtm_monthly[month_label],I$64,tbl_gtm_monthly[segment],"Enterprise")*$F$19*IF(I$49="Forward creation",$F$22,1)</f>
        <v>85554.386562500003</v>
      </c>
      <c r="J66" s="167">
        <f>SUM(D66:I66)</f>
        <v>298807.88062499999</v>
      </c>
    </row>
    <row r="67" spans="2:10" ht="15" customHeight="1" x14ac:dyDescent="0.35">
      <c r="B67" s="170" t="s">
        <v>1008</v>
      </c>
      <c r="D67" s="167">
        <f t="shared" ref="D67:I67" si="6">MIN(D65,D66)</f>
        <v>81568.06</v>
      </c>
      <c r="E67" s="167">
        <f t="shared" si="6"/>
        <v>46131.047500000001</v>
      </c>
      <c r="F67" s="167">
        <f t="shared" si="6"/>
        <v>0</v>
      </c>
      <c r="G67" s="167">
        <f t="shared" si="6"/>
        <v>0</v>
      </c>
      <c r="H67" s="167">
        <f t="shared" si="6"/>
        <v>85554.386562500003</v>
      </c>
      <c r="I67" s="167">
        <f t="shared" si="6"/>
        <v>85554.386562500003</v>
      </c>
      <c r="J67" s="167">
        <f>SUM(D67:I67)</f>
        <v>298807.88062499999</v>
      </c>
    </row>
    <row r="68" spans="2:10" ht="15" customHeight="1" x14ac:dyDescent="0.35">
      <c r="B68" s="169" t="s">
        <v>109</v>
      </c>
      <c r="D68" s="162" t="str">
        <f t="shared" ref="D68:I68" si="7">IF(D66&lt;D65,"Pipeline","Capacity")</f>
        <v>Pipeline</v>
      </c>
      <c r="E68" s="162" t="str">
        <f t="shared" si="7"/>
        <v>Pipeline</v>
      </c>
      <c r="F68" s="162" t="str">
        <f t="shared" si="7"/>
        <v>Pipeline</v>
      </c>
      <c r="G68" s="162" t="str">
        <f t="shared" si="7"/>
        <v>Pipeline</v>
      </c>
      <c r="H68" s="162" t="str">
        <f t="shared" si="7"/>
        <v>Pipeline</v>
      </c>
      <c r="I68" s="162" t="str">
        <f t="shared" si="7"/>
        <v>Pipeline</v>
      </c>
    </row>
    <row r="69" spans="2:10" ht="7" customHeight="1" x14ac:dyDescent="0.35"/>
    <row r="70" spans="2:10" x14ac:dyDescent="0.35">
      <c r="B70" s="134" t="s">
        <v>1114</v>
      </c>
    </row>
    <row r="72" spans="2:10" ht="18" customHeight="1" thickBot="1" x14ac:dyDescent="0.4">
      <c r="B72" s="135" t="s">
        <v>1009</v>
      </c>
      <c r="C72" s="136"/>
      <c r="D72" s="136"/>
      <c r="E72" s="136"/>
      <c r="F72" s="136"/>
      <c r="G72" s="136"/>
      <c r="H72" s="136"/>
      <c r="I72" s="136"/>
      <c r="J72" s="136"/>
    </row>
    <row r="73" spans="2:10" ht="17" customHeight="1" x14ac:dyDescent="0.35">
      <c r="B73" s="299" t="s">
        <v>1010</v>
      </c>
      <c r="C73" s="299"/>
      <c r="D73" s="299"/>
      <c r="E73" s="299"/>
      <c r="F73" s="299"/>
      <c r="G73" s="299"/>
      <c r="H73" s="299"/>
      <c r="I73" s="299"/>
      <c r="J73" s="299"/>
    </row>
    <row r="74" spans="2:10" ht="7" customHeight="1" x14ac:dyDescent="0.35"/>
    <row r="75" spans="2:10" ht="26" customHeight="1" x14ac:dyDescent="0.35">
      <c r="B75" s="139" t="s">
        <v>1011</v>
      </c>
      <c r="C75" s="160"/>
      <c r="D75" s="168" t="s">
        <v>59</v>
      </c>
      <c r="E75" s="168" t="s">
        <v>61</v>
      </c>
      <c r="F75" s="168" t="s">
        <v>63</v>
      </c>
      <c r="G75" s="168" t="s">
        <v>64</v>
      </c>
      <c r="H75" s="168" t="s">
        <v>65</v>
      </c>
      <c r="I75" s="168" t="s">
        <v>66</v>
      </c>
      <c r="J75" s="160" t="s">
        <v>370</v>
      </c>
    </row>
    <row r="76" spans="2:10" ht="15" customHeight="1" x14ac:dyDescent="0.35">
      <c r="B76" s="158" t="s">
        <v>33</v>
      </c>
      <c r="D76" s="165">
        <f>D43</f>
        <v>33016720.32</v>
      </c>
      <c r="E76" s="165">
        <f>D82</f>
        <v>33671666.720317781</v>
      </c>
      <c r="F76" s="165">
        <f>E82</f>
        <v>33985619.409044512</v>
      </c>
      <c r="G76" s="165">
        <f>F82</f>
        <v>34227398.188384533</v>
      </c>
      <c r="H76" s="165">
        <f>G82</f>
        <v>34388015.770121619</v>
      </c>
      <c r="I76" s="165">
        <f>H82</f>
        <v>34776456.209347919</v>
      </c>
    </row>
    <row r="77" spans="2:10" ht="15" customHeight="1" x14ac:dyDescent="0.35">
      <c r="B77" s="169" t="s">
        <v>145</v>
      </c>
      <c r="D77" s="165">
        <f t="shared" ref="D77:I77" si="8">D55+D61+D67</f>
        <v>379723.84316577658</v>
      </c>
      <c r="E77" s="165">
        <f t="shared" si="8"/>
        <v>78926.912128142969</v>
      </c>
      <c r="F77" s="165">
        <f t="shared" si="8"/>
        <v>10415.98618357488</v>
      </c>
      <c r="G77" s="165">
        <f t="shared" si="8"/>
        <v>11305.866570048311</v>
      </c>
      <c r="H77" s="165">
        <f t="shared" si="8"/>
        <v>350964.27540200192</v>
      </c>
      <c r="I77" s="165">
        <f t="shared" si="8"/>
        <v>351431.15011490264</v>
      </c>
      <c r="J77" s="167">
        <f>SUM(D77:I77)</f>
        <v>1182768.0335644474</v>
      </c>
    </row>
    <row r="78" spans="2:10" ht="15" customHeight="1" x14ac:dyDescent="0.35">
      <c r="B78" s="169" t="s">
        <v>1012</v>
      </c>
      <c r="C78" s="157" t="s">
        <v>1013</v>
      </c>
      <c r="D78" s="165">
        <f t="shared" ref="D78:I78" si="9">$D$40*$D$23+$D$41*$D$24+$D$42*$D$25</f>
        <v>514111.27215857373</v>
      </c>
      <c r="E78" s="165">
        <f t="shared" si="9"/>
        <v>514111.27215857373</v>
      </c>
      <c r="F78" s="165">
        <f t="shared" si="9"/>
        <v>514111.27215857373</v>
      </c>
      <c r="G78" s="165">
        <f t="shared" si="9"/>
        <v>514111.27215857373</v>
      </c>
      <c r="H78" s="165">
        <f t="shared" si="9"/>
        <v>514111.27215857373</v>
      </c>
      <c r="I78" s="165">
        <f t="shared" si="9"/>
        <v>514111.27215857373</v>
      </c>
      <c r="J78" s="167">
        <f>SUM(D78:I78)</f>
        <v>3084667.6329514426</v>
      </c>
    </row>
    <row r="79" spans="2:10" ht="15" customHeight="1" x14ac:dyDescent="0.35">
      <c r="B79" s="169" t="s">
        <v>1014</v>
      </c>
      <c r="C79" s="157" t="s">
        <v>1015</v>
      </c>
      <c r="D79" s="165">
        <f>SUMIFS(tbl_arr_monthly[reactivation_arr],tbl_arr_monthly[month_label],"Jul-26",tbl_arr_monthly[segment],"Total")</f>
        <v>8534.9</v>
      </c>
      <c r="E79" s="165">
        <f>SUMIFS(tbl_arr_monthly[reactivation_arr],tbl_arr_monthly[month_label],"Jul-26",tbl_arr_monthly[segment],"Total")</f>
        <v>8534.9</v>
      </c>
      <c r="F79" s="165">
        <f>SUMIFS(tbl_arr_monthly[reactivation_arr],tbl_arr_monthly[month_label],"Jul-26",tbl_arr_monthly[segment],"Total")</f>
        <v>8534.9</v>
      </c>
      <c r="G79" s="165">
        <f>SUMIFS(tbl_arr_monthly[reactivation_arr],tbl_arr_monthly[month_label],"Jul-26",tbl_arr_monthly[segment],"Total")</f>
        <v>8534.9</v>
      </c>
      <c r="H79" s="165">
        <f>SUMIFS(tbl_arr_monthly[reactivation_arr],tbl_arr_monthly[month_label],"Jul-26",tbl_arr_monthly[segment],"Total")</f>
        <v>8534.9</v>
      </c>
      <c r="I79" s="165">
        <f>SUMIFS(tbl_arr_monthly[reactivation_arr],tbl_arr_monthly[month_label],"Jul-26",tbl_arr_monthly[segment],"Total")</f>
        <v>8534.9</v>
      </c>
      <c r="J79" s="167">
        <f>SUM(D79:I79)</f>
        <v>51209.4</v>
      </c>
    </row>
    <row r="80" spans="2:10" ht="15" customHeight="1" x14ac:dyDescent="0.35">
      <c r="B80" s="169" t="s">
        <v>1016</v>
      </c>
      <c r="C80" s="157" t="s">
        <v>1017</v>
      </c>
      <c r="D80" s="165">
        <f>-(SUMIFS(tbl_renewal_monthly[SMB],tbl_renewal_monthly[month_label],D$75)*$D$29+SUMIFS(tbl_renewal_monthly[Mid-Market],tbl_renewal_monthly[month_label],D$75)*$D$30+SUMIFS(tbl_renewal_monthly[Enterprise],tbl_renewal_monthly[month_label],D$75)*$D$31+$D$33)</f>
        <v>-86848.288651548413</v>
      </c>
      <c r="E80" s="165">
        <f>-(SUMIFS(tbl_renewal_monthly[SMB],tbl_renewal_monthly[month_label],E$75)*$D$29+SUMIFS(tbl_renewal_monthly[Mid-Market],tbl_renewal_monthly[month_label],E$75)*$D$30+SUMIFS(tbl_renewal_monthly[Enterprise],tbl_renewal_monthly[month_label],E$75)*$D$31+$D$33)</f>
        <v>-99397.3496038679</v>
      </c>
      <c r="F80" s="165">
        <f>-(SUMIFS(tbl_renewal_monthly[SMB],tbl_renewal_monthly[month_label],F$75)*$D$29+SUMIFS(tbl_renewal_monthly[Mid-Market],tbl_renewal_monthly[month_label],F$75)*$D$30+SUMIFS(tbl_renewal_monthly[Enterprise],tbl_renewal_monthly[month_label],F$75)*$D$31+$D$33)</f>
        <v>-102725.15900228241</v>
      </c>
      <c r="G80" s="165">
        <f>-(SUMIFS(tbl_renewal_monthly[SMB],tbl_renewal_monthly[month_label],G$75)*$D$29+SUMIFS(tbl_renewal_monthly[Mid-Market],tbl_renewal_monthly[month_label],G$75)*$D$30+SUMIFS(tbl_renewal_monthly[Enterprise],tbl_renewal_monthly[month_label],G$75)*$D$31+$D$33)</f>
        <v>-140395.94148762702</v>
      </c>
      <c r="H80" s="165">
        <f>-(SUMIFS(tbl_renewal_monthly[SMB],tbl_renewal_monthly[month_label],H$75)*$D$29+SUMIFS(tbl_renewal_monthly[Mid-Market],tbl_renewal_monthly[month_label],H$75)*$D$30+SUMIFS(tbl_renewal_monthly[Enterprise],tbl_renewal_monthly[month_label],H$75)*$D$31+$D$33)</f>
        <v>-183611.10877066088</v>
      </c>
      <c r="I80" s="165">
        <f>-(SUMIFS(tbl_renewal_monthly[SMB],tbl_renewal_monthly[month_label],I$75)*$D$29+SUMIFS(tbl_renewal_monthly[Mid-Market],tbl_renewal_monthly[month_label],I$75)*$D$30+SUMIFS(tbl_renewal_monthly[Enterprise],tbl_renewal_monthly[month_label],I$75)*$D$31+$D$33)</f>
        <v>-351650.54688320425</v>
      </c>
      <c r="J80" s="167">
        <f>SUM(D80:I80)</f>
        <v>-964628.39439919079</v>
      </c>
    </row>
    <row r="81" spans="2:10" ht="15" customHeight="1" x14ac:dyDescent="0.35">
      <c r="B81" s="169" t="s">
        <v>1018</v>
      </c>
      <c r="C81" s="157" t="s">
        <v>1017</v>
      </c>
      <c r="D81" s="165">
        <f>-(SUMIFS(tbl_renewal_monthly[SMB],tbl_renewal_monthly[month_label],D$75)*$D$26+SUMIFS(tbl_renewal_monthly[Mid-Market],tbl_renewal_monthly[month_label],D$75)*$D$27+SUMIFS(tbl_renewal_monthly[Enterprise],tbl_renewal_monthly[month_label],D$75)*$D$28+$D$32)</f>
        <v>-160575.32635501667</v>
      </c>
      <c r="E81" s="165">
        <f>-(SUMIFS(tbl_renewal_monthly[SMB],tbl_renewal_monthly[month_label],E$75)*$D$26+SUMIFS(tbl_renewal_monthly[Mid-Market],tbl_renewal_monthly[month_label],E$75)*$D$27+SUMIFS(tbl_renewal_monthly[Enterprise],tbl_renewal_monthly[month_label],E$75)*$D$28+$D$32)</f>
        <v>-188223.04595611405</v>
      </c>
      <c r="F81" s="165">
        <f>-(SUMIFS(tbl_renewal_monthly[SMB],tbl_renewal_monthly[month_label],F$75)*$D$26+SUMIFS(tbl_renewal_monthly[Mid-Market],tbl_renewal_monthly[month_label],F$75)*$D$27+SUMIFS(tbl_renewal_monthly[Enterprise],tbl_renewal_monthly[month_label],F$75)*$D$28+$D$32)</f>
        <v>-188558.21999984354</v>
      </c>
      <c r="G81" s="165">
        <f>-(SUMIFS(tbl_renewal_monthly[SMB],tbl_renewal_monthly[month_label],G$75)*$D$26+SUMIFS(tbl_renewal_monthly[Mid-Market],tbl_renewal_monthly[month_label],G$75)*$D$27+SUMIFS(tbl_renewal_monthly[Enterprise],tbl_renewal_monthly[month_label],G$75)*$D$28+$D$32)</f>
        <v>-232938.51550390455</v>
      </c>
      <c r="H81" s="165">
        <f>-(SUMIFS(tbl_renewal_monthly[SMB],tbl_renewal_monthly[month_label],H$75)*$D$26+SUMIFS(tbl_renewal_monthly[Mid-Market],tbl_renewal_monthly[month_label],H$75)*$D$27+SUMIFS(tbl_renewal_monthly[Enterprise],tbl_renewal_monthly[month_label],H$75)*$D$28+$D$32)</f>
        <v>-301558.89956360729</v>
      </c>
      <c r="I81" s="165">
        <f>-(SUMIFS(tbl_renewal_monthly[SMB],tbl_renewal_monthly[month_label],I$75)*$D$26+SUMIFS(tbl_renewal_monthly[Mid-Market],tbl_renewal_monthly[month_label],I$75)*$D$27+SUMIFS(tbl_renewal_monthly[Enterprise],tbl_renewal_monthly[month_label],I$75)*$D$28+$D$32)</f>
        <v>-482466.41994055687</v>
      </c>
      <c r="J81" s="167">
        <f>SUM(D81:I81)</f>
        <v>-1554320.4273190429</v>
      </c>
    </row>
    <row r="82" spans="2:10" ht="15" customHeight="1" x14ac:dyDescent="0.35">
      <c r="B82" s="158" t="s">
        <v>39</v>
      </c>
      <c r="D82" s="167">
        <f t="shared" ref="D82:I82" si="10">SUM(D76:D81)</f>
        <v>33671666.720317781</v>
      </c>
      <c r="E82" s="167">
        <f t="shared" si="10"/>
        <v>33985619.409044512</v>
      </c>
      <c r="F82" s="167">
        <f t="shared" si="10"/>
        <v>34227398.188384533</v>
      </c>
      <c r="G82" s="167">
        <f t="shared" si="10"/>
        <v>34388015.770121619</v>
      </c>
      <c r="H82" s="167">
        <f t="shared" si="10"/>
        <v>34776456.209347919</v>
      </c>
      <c r="I82" s="167">
        <f t="shared" si="10"/>
        <v>34816416.564797632</v>
      </c>
    </row>
    <row r="83" spans="2:10" ht="7" customHeight="1" x14ac:dyDescent="0.35"/>
    <row r="84" spans="2:10" x14ac:dyDescent="0.35">
      <c r="B84" s="134" t="s">
        <v>1019</v>
      </c>
    </row>
    <row r="86" spans="2:10" ht="18" customHeight="1" thickBot="1" x14ac:dyDescent="0.4">
      <c r="B86" s="135" t="s">
        <v>1020</v>
      </c>
      <c r="C86" s="136"/>
      <c r="D86" s="136"/>
      <c r="E86" s="136"/>
      <c r="F86" s="136"/>
      <c r="G86" s="136"/>
      <c r="H86" s="136"/>
      <c r="I86" s="136"/>
      <c r="J86" s="136"/>
    </row>
    <row r="87" spans="2:10" ht="30" customHeight="1" x14ac:dyDescent="0.35">
      <c r="B87" s="299" t="s">
        <v>1021</v>
      </c>
      <c r="C87" s="299"/>
      <c r="D87" s="299"/>
      <c r="E87" s="299"/>
      <c r="F87" s="299"/>
      <c r="G87" s="299"/>
      <c r="H87" s="299"/>
      <c r="I87" s="299"/>
      <c r="J87" s="299"/>
    </row>
    <row r="88" spans="2:10" ht="7" customHeight="1" x14ac:dyDescent="0.35"/>
    <row r="89" spans="2:10" ht="26" customHeight="1" x14ac:dyDescent="0.35">
      <c r="B89" s="139" t="s">
        <v>701</v>
      </c>
      <c r="C89" s="160"/>
      <c r="D89" s="168" t="s">
        <v>59</v>
      </c>
      <c r="E89" s="168" t="s">
        <v>61</v>
      </c>
      <c r="F89" s="168" t="s">
        <v>63</v>
      </c>
      <c r="G89" s="168" t="s">
        <v>64</v>
      </c>
      <c r="H89" s="168" t="s">
        <v>65</v>
      </c>
      <c r="I89" s="168" t="s">
        <v>66</v>
      </c>
      <c r="J89" s="160" t="s">
        <v>370</v>
      </c>
    </row>
    <row r="90" spans="2:10" ht="15" customHeight="1" x14ac:dyDescent="0.35">
      <c r="B90" s="169" t="s">
        <v>1022</v>
      </c>
      <c r="C90" s="157" t="s">
        <v>1023</v>
      </c>
      <c r="D90" s="165">
        <f>(0.55*SUMIFS(tbl_arr_monthly[ending_arr],tbl_arr_monthly[month_label],"Jun-26",tbl_arr_monthly[segment],"Total")+0.45*SUMIFS(tbl_arr_monthly[ending_arr],tbl_arr_monthly[month_label],"May-26",tbl_arr_monthly[segment],"Total"))/12</f>
        <v>2731761.7365000001</v>
      </c>
      <c r="E90" s="165">
        <f>(0.55*D82+0.45*SUMIFS(tbl_arr_monthly[ending_arr],tbl_arr_monthly[month_label],"Jun-26",tbl_arr_monthly[segment],"Total"))/12</f>
        <v>2781411.7366812318</v>
      </c>
      <c r="F90" s="165">
        <f>(0.55*E82+0.45*D82)/12</f>
        <v>2820361.7249264568</v>
      </c>
      <c r="G90" s="165">
        <f>(0.55*F82+0.45*E82)/12</f>
        <v>2843216.4781401269</v>
      </c>
      <c r="H90" s="165">
        <f>(0.55*G82+0.45*F82)/12</f>
        <v>2859644.8215283281</v>
      </c>
      <c r="I90" s="165">
        <f>(0.55*H82+0.45*G82)/12</f>
        <v>2883471.5009746738</v>
      </c>
      <c r="J90" s="167">
        <f>SUM(D90:I90)</f>
        <v>16919867.998750821</v>
      </c>
    </row>
    <row r="91" spans="2:10" ht="15" customHeight="1" x14ac:dyDescent="0.35">
      <c r="B91" s="169" t="s">
        <v>1024</v>
      </c>
      <c r="C91" s="157" t="s">
        <v>1025</v>
      </c>
      <c r="D91" s="165">
        <f t="shared" ref="D91:I91" si="11">D77*$D$94</f>
        <v>56429.808568092791</v>
      </c>
      <c r="E91" s="165">
        <f t="shared" si="11"/>
        <v>11729.13058376841</v>
      </c>
      <c r="F91" s="165">
        <f t="shared" si="11"/>
        <v>1547.8935994293763</v>
      </c>
      <c r="G91" s="165">
        <f t="shared" si="11"/>
        <v>1680.1364932085626</v>
      </c>
      <c r="H91" s="165">
        <f t="shared" si="11"/>
        <v>52155.921287587247</v>
      </c>
      <c r="I91" s="165">
        <f t="shared" si="11"/>
        <v>52225.302368465986</v>
      </c>
      <c r="J91" s="167">
        <f>SUM(D91:I91)</f>
        <v>175768.19290055236</v>
      </c>
    </row>
    <row r="92" spans="2:10" ht="15" customHeight="1" x14ac:dyDescent="0.35">
      <c r="B92" s="158" t="s">
        <v>1026</v>
      </c>
      <c r="D92" s="167">
        <f t="shared" ref="D92:I92" si="12">SUM(D90:D91)</f>
        <v>2788191.5450680931</v>
      </c>
      <c r="E92" s="167">
        <f t="shared" si="12"/>
        <v>2793140.867265</v>
      </c>
      <c r="F92" s="167">
        <f t="shared" si="12"/>
        <v>2821909.618525886</v>
      </c>
      <c r="G92" s="167">
        <f t="shared" si="12"/>
        <v>2844896.6146333353</v>
      </c>
      <c r="H92" s="167">
        <f t="shared" si="12"/>
        <v>2911800.7428159155</v>
      </c>
      <c r="I92" s="167">
        <f t="shared" si="12"/>
        <v>2935696.8033431396</v>
      </c>
      <c r="J92" s="167">
        <f>SUM(D92:I92)</f>
        <v>17095636.191651367</v>
      </c>
    </row>
    <row r="93" spans="2:10" ht="7" customHeight="1" x14ac:dyDescent="0.35"/>
    <row r="94" spans="2:10" ht="15" customHeight="1" x14ac:dyDescent="0.35">
      <c r="B94" s="161" t="s">
        <v>1027</v>
      </c>
      <c r="D94" s="171">
        <f>SUMIFS(tbl_pnl_monthly[services_revenue],tbl_pnl_monthly[month_label],"Jul-26")/SUMIFS(tbl_arr_monthly[new_logo_arr],tbl_arr_monthly[month_label],"Jul-26",tbl_arr_monthly[segment],"Total")</f>
        <v>0.14860749353433977</v>
      </c>
      <c r="E94" s="157" t="s">
        <v>1028</v>
      </c>
    </row>
    <row r="96" spans="2:10" ht="18" customHeight="1" thickBot="1" x14ac:dyDescent="0.4">
      <c r="B96" s="135" t="s">
        <v>1029</v>
      </c>
      <c r="C96" s="136"/>
      <c r="D96" s="136"/>
      <c r="E96" s="136"/>
      <c r="F96" s="136"/>
      <c r="G96" s="136"/>
      <c r="H96" s="136"/>
      <c r="I96" s="136"/>
      <c r="J96" s="136"/>
    </row>
    <row r="97" spans="2:10" ht="17" customHeight="1" x14ac:dyDescent="0.35">
      <c r="B97" s="299" t="s">
        <v>1030</v>
      </c>
      <c r="C97" s="299"/>
      <c r="D97" s="299"/>
      <c r="E97" s="299"/>
      <c r="F97" s="299"/>
      <c r="G97" s="299"/>
      <c r="H97" s="299"/>
      <c r="I97" s="299"/>
      <c r="J97" s="299"/>
    </row>
    <row r="98" spans="2:10" ht="7" customHeight="1" x14ac:dyDescent="0.35"/>
    <row r="99" spans="2:10" ht="26" customHeight="1" x14ac:dyDescent="0.35">
      <c r="B99" s="139" t="s">
        <v>494</v>
      </c>
      <c r="C99" s="139" t="s">
        <v>1031</v>
      </c>
      <c r="D99" s="160" t="s">
        <v>356</v>
      </c>
      <c r="E99" s="160" t="s">
        <v>498</v>
      </c>
    </row>
    <row r="100" spans="2:10" ht="28.15" customHeight="1" x14ac:dyDescent="0.35">
      <c r="B100" s="161" t="s">
        <v>1032</v>
      </c>
      <c r="C100" s="172" t="s">
        <v>1033</v>
      </c>
      <c r="D100" s="173">
        <f>ROUND(SUM(I76:I81)-I82,2)</f>
        <v>0</v>
      </c>
      <c r="E100" s="174" t="str">
        <f>IF(ABS(D100)&lt;0.01,"PASS","FAIL")</f>
        <v>PASS</v>
      </c>
    </row>
    <row r="101" spans="2:10" ht="28.15" customHeight="1" x14ac:dyDescent="0.35">
      <c r="B101" s="161" t="s">
        <v>1034</v>
      </c>
      <c r="C101" s="172" t="s">
        <v>1035</v>
      </c>
      <c r="D101" s="173">
        <f>ROUND(SUM(D90:I90)+SUM(D91:I91)-SUM(D92:I92),2)</f>
        <v>0</v>
      </c>
      <c r="E101" s="174" t="str">
        <f>IF(ABS(D101)&lt;0.01,"PASS","FAIL")</f>
        <v>PASS</v>
      </c>
    </row>
    <row r="102" spans="2:10" ht="28.15" customHeight="1" x14ac:dyDescent="0.35">
      <c r="B102" s="161" t="s">
        <v>1036</v>
      </c>
      <c r="C102" s="172" t="s">
        <v>1037</v>
      </c>
      <c r="D102" s="173">
        <f>IF(OR('Forecast Drivers'!$D$10="Bear",'Forecast Drivers'!$D$10="Base",'Forecast Drivers'!$D$10="Bull"),0,1)</f>
        <v>0</v>
      </c>
      <c r="E102" s="174" t="str">
        <f>IF(ABS(D102)&lt;0.01,"PASS","FAIL")</f>
        <v>PASS</v>
      </c>
    </row>
    <row r="103" spans="2:10" ht="28.15" customHeight="1" x14ac:dyDescent="0.35">
      <c r="B103" s="161" t="s">
        <v>1038</v>
      </c>
      <c r="C103" s="172" t="s">
        <v>1039</v>
      </c>
      <c r="D103" s="173">
        <f>IF('Forecast Drivers'!$D$10&lt;&gt;"Base",0,ROUND(I82-_xlfn.XLOOKUP("Exit ARR",tbl_mgmt_variance[metric_label],tbl_mgmt_variance[base_amount]),2))</f>
        <v>0</v>
      </c>
      <c r="E103" s="174" t="str">
        <f>IF(ABS(D103)&lt;0.01,"PASS","FAIL")</f>
        <v>PASS</v>
      </c>
    </row>
    <row r="104" spans="2:10" ht="28.15" customHeight="1" x14ac:dyDescent="0.35">
      <c r="B104" s="161" t="s">
        <v>1115</v>
      </c>
      <c r="C104" s="172" t="s">
        <v>1116</v>
      </c>
      <c r="D104" s="173">
        <f>ROUND(I82-_xlfn.XLOOKUP($D$10,tbl_scenario_summary[scenario],tbl_scenario_summary[dec_2026_exit_arr]),2)</f>
        <v>0</v>
      </c>
      <c r="E104" s="174" t="str">
        <f>IF(ABS(D104)&lt;0.01,"PASS","FAIL")</f>
        <v>PASS</v>
      </c>
    </row>
    <row r="106" spans="2:10" x14ac:dyDescent="0.35">
      <c r="B106" s="134" t="s">
        <v>1040</v>
      </c>
    </row>
  </sheetData>
  <mergeCells count="7">
    <mergeCell ref="B87:J87"/>
    <mergeCell ref="B97:J97"/>
    <mergeCell ref="B46:J46"/>
    <mergeCell ref="B8:J8"/>
    <mergeCell ref="B13:J13"/>
    <mergeCell ref="B37:J37"/>
    <mergeCell ref="B73:J73"/>
  </mergeCells>
  <conditionalFormatting sqref="E100:E104">
    <cfRule type="cellIs" dxfId="10" priority="1" operator="equal">
      <formula>"PASS"</formula>
    </cfRule>
    <cfRule type="cellIs" dxfId="9" priority="2" operator="equal">
      <formula>"FAIL"</formula>
    </cfRule>
  </conditionalFormatting>
  <dataValidations count="1">
    <dataValidation type="list" showInputMessage="1" showErrorMessage="1" errorTitle="Scenario not recognised" error="Choose Bear, Base or Bull." promptTitle="Scenario" prompt="Bear, Base or Bull. Drives the whole forecast." sqref="D10" xr:uid="{51404340-04AE-43DF-ACC7-FF3EBFFCF187}">
      <formula1>"Bear,Base,Bull"</formula1>
    </dataValidation>
  </dataValidations>
  <hyperlinks>
    <hyperlink ref="J1" location="'Model Guide'!A1" display="← Model Guide" xr:uid="{64BBFADA-0380-4FB9-96AB-EF73FDAD24A8}"/>
  </hyperlinks>
  <pageMargins left="0.7" right="0.7" top="0.75" bottom="0.75" header="0.3" footer="0.3"/>
  <pageSetup scale="73"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5E8C"/>
    <pageSetUpPr fitToPage="1"/>
  </sheetPr>
  <dimension ref="B1:Y93"/>
  <sheetViews>
    <sheetView showGridLines="0" zoomScale="90" zoomScaleNormal="9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46" customWidth="1"/>
    <col min="3" max="4" width="15" customWidth="1"/>
    <col min="5" max="5" width="17" customWidth="1"/>
    <col min="6" max="7" width="15" customWidth="1"/>
    <col min="8" max="8" width="17" customWidth="1"/>
    <col min="9" max="9" width="13" customWidth="1"/>
    <col min="10" max="10" width="2" customWidth="1"/>
    <col min="11" max="19" width="10.453125" customWidth="1"/>
  </cols>
  <sheetData>
    <row r="1" spans="2:25" ht="24" customHeight="1" x14ac:dyDescent="0.35">
      <c r="B1" s="37" t="s">
        <v>0</v>
      </c>
      <c r="I1" s="147" t="s">
        <v>939</v>
      </c>
    </row>
    <row r="2" spans="2:25" ht="15" customHeight="1" x14ac:dyDescent="0.35">
      <c r="B2" s="38" t="s">
        <v>333</v>
      </c>
    </row>
    <row r="3" spans="2:25" ht="12" customHeight="1" x14ac:dyDescent="0.35">
      <c r="B3" s="39" t="s">
        <v>2</v>
      </c>
    </row>
    <row r="4" spans="2:25" ht="12" customHeight="1" x14ac:dyDescent="0.35">
      <c r="B4" s="39" t="s">
        <v>897</v>
      </c>
    </row>
    <row r="5" spans="2:25" ht="7" customHeight="1" x14ac:dyDescent="0.35">
      <c r="B5" s="40"/>
      <c r="C5" s="40"/>
      <c r="D5" s="40"/>
      <c r="E5" s="40"/>
      <c r="F5" s="40"/>
      <c r="G5" s="40"/>
      <c r="H5" s="40"/>
      <c r="I5" s="40"/>
      <c r="J5" s="46"/>
      <c r="K5" s="46"/>
      <c r="L5" s="46"/>
      <c r="M5" s="46"/>
      <c r="N5" s="46"/>
      <c r="O5" s="46"/>
      <c r="P5" s="46"/>
      <c r="Q5" s="46"/>
      <c r="R5" s="46"/>
      <c r="S5" s="46"/>
      <c r="T5" s="46"/>
      <c r="U5" s="46"/>
      <c r="V5" s="46"/>
      <c r="W5" s="46"/>
      <c r="X5" s="46"/>
      <c r="Y5" s="46"/>
    </row>
    <row r="6" spans="2:25" ht="7" customHeight="1" x14ac:dyDescent="0.35"/>
    <row r="7" spans="2:25" ht="28.15" customHeight="1" x14ac:dyDescent="0.35">
      <c r="B7" s="298" t="s">
        <v>334</v>
      </c>
      <c r="C7" s="298"/>
      <c r="D7" s="298"/>
      <c r="E7" s="298"/>
      <c r="F7" s="298"/>
      <c r="G7" s="298"/>
      <c r="H7" s="298"/>
      <c r="I7" s="298"/>
    </row>
    <row r="8" spans="2:25" ht="15" customHeight="1" x14ac:dyDescent="0.35"/>
    <row r="9" spans="2:25" ht="18" customHeight="1" thickBot="1" x14ac:dyDescent="0.4">
      <c r="B9" s="21" t="s">
        <v>335</v>
      </c>
      <c r="C9" s="41"/>
      <c r="D9" s="41"/>
      <c r="E9" s="41"/>
      <c r="F9" s="41"/>
      <c r="G9" s="136"/>
      <c r="H9" s="136"/>
      <c r="I9" s="136"/>
    </row>
    <row r="10" spans="2:25" ht="17" customHeight="1" x14ac:dyDescent="0.35">
      <c r="B10" s="298" t="s">
        <v>336</v>
      </c>
      <c r="C10" s="298"/>
      <c r="D10" s="298"/>
      <c r="E10" s="298"/>
      <c r="F10" s="298"/>
      <c r="G10" s="298"/>
      <c r="H10" s="298"/>
      <c r="I10" s="298"/>
    </row>
    <row r="11" spans="2:25" ht="7" customHeight="1" x14ac:dyDescent="0.35"/>
    <row r="12" spans="2:25" ht="26" customHeight="1" x14ac:dyDescent="0.35">
      <c r="B12" s="20" t="s">
        <v>896</v>
      </c>
      <c r="C12" s="42" t="s">
        <v>337</v>
      </c>
      <c r="D12" s="42" t="s">
        <v>142</v>
      </c>
      <c r="E12" s="42" t="s">
        <v>338</v>
      </c>
    </row>
    <row r="13" spans="2:25" ht="15" customHeight="1" x14ac:dyDescent="0.35">
      <c r="B13" s="18" t="s">
        <v>339</v>
      </c>
      <c r="C13" s="23">
        <f>_xlfn.XLOOKUP("FY2024",tbl_subscription_accounting[period],tbl_subscription_accounting[bookings_tcv])</f>
        <v>11262844.51</v>
      </c>
      <c r="D13" s="23">
        <f>_xlfn.XLOOKUP("FY2025",tbl_subscription_accounting[period],tbl_subscription_accounting[bookings_tcv])</f>
        <v>10008615.83</v>
      </c>
      <c r="E13" s="23">
        <f>_xlfn.XLOOKUP("H1 2026",tbl_subscription_accounting[period],tbl_subscription_accounting[bookings_tcv])</f>
        <v>6219555.2300000004</v>
      </c>
    </row>
    <row r="14" spans="2:25" ht="15" customHeight="1" x14ac:dyDescent="0.35">
      <c r="B14" s="18" t="s">
        <v>340</v>
      </c>
      <c r="C14" s="23">
        <f>_xlfn.XLOOKUP("FY2024",tbl_subscription_accounting[period],tbl_subscription_accounting[bookings_acv])</f>
        <v>8627313.6099999994</v>
      </c>
      <c r="D14" s="23">
        <f>_xlfn.XLOOKUP("FY2025",tbl_subscription_accounting[period],tbl_subscription_accounting[bookings_acv])</f>
        <v>9444860.0099999998</v>
      </c>
      <c r="E14" s="23">
        <f>_xlfn.XLOOKUP("H1 2026",tbl_subscription_accounting[period],tbl_subscription_accounting[bookings_acv])</f>
        <v>4973032.1899999985</v>
      </c>
    </row>
    <row r="15" spans="2:25" ht="15" customHeight="1" x14ac:dyDescent="0.35">
      <c r="B15" s="18" t="s">
        <v>341</v>
      </c>
      <c r="C15" s="23">
        <f>_xlfn.XLOOKUP("FY2024",tbl_subscription_accounting[period],tbl_subscription_accounting[subscription_billings])</f>
        <v>22912148.920000002</v>
      </c>
      <c r="D15" s="23">
        <f>_xlfn.XLOOKUP("FY2025",tbl_subscription_accounting[period],tbl_subscription_accounting[subscription_billings])</f>
        <v>28991307.890000001</v>
      </c>
      <c r="E15" s="23">
        <f>_xlfn.XLOOKUP("H1 2026",tbl_subscription_accounting[period],tbl_subscription_accounting[subscription_billings])</f>
        <v>17815674.370000001</v>
      </c>
    </row>
    <row r="16" spans="2:25" ht="15" customHeight="1" x14ac:dyDescent="0.35">
      <c r="B16" s="34" t="s">
        <v>342</v>
      </c>
      <c r="C16" s="24">
        <f>_xlfn.XLOOKUP("FY2024",tbl_subscription_accounting[period],tbl_subscription_accounting[exit_arr])</f>
        <v>24495197.399999999</v>
      </c>
      <c r="D16" s="24">
        <f>_xlfn.XLOOKUP("FY2025",tbl_subscription_accounting[period],tbl_subscription_accounting[exit_arr])</f>
        <v>30189315.84</v>
      </c>
      <c r="E16" s="24">
        <f>_xlfn.XLOOKUP("H1 2026",tbl_subscription_accounting[period],tbl_subscription_accounting[exit_arr])</f>
        <v>33016720.32</v>
      </c>
    </row>
    <row r="17" spans="2:9" ht="15" customHeight="1" x14ac:dyDescent="0.35">
      <c r="B17" s="18" t="s">
        <v>343</v>
      </c>
      <c r="C17" s="23">
        <f>_xlfn.XLOOKUP("FY2024",tbl_subscription_accounting[period],tbl_subscription_accounting[contract_analytical_revenue])</f>
        <v>21521425.250000011</v>
      </c>
      <c r="D17" s="23">
        <f>_xlfn.XLOOKUP("FY2025",tbl_subscription_accounting[period],tbl_subscription_accounting[contract_analytical_revenue])</f>
        <v>27299780.09</v>
      </c>
      <c r="E17" s="23">
        <f>_xlfn.XLOOKUP("H1 2026",tbl_subscription_accounting[period],tbl_subscription_accounting[contract_analytical_revenue])</f>
        <v>15712815.67999999</v>
      </c>
    </row>
    <row r="18" spans="2:9" ht="15" customHeight="1" x14ac:dyDescent="0.35">
      <c r="B18" s="18" t="s">
        <v>344</v>
      </c>
      <c r="C18" s="23">
        <f>_xlfn.XLOOKUP("FY2024",tbl_subscription_accounting[period],tbl_subscription_accounting[gl_subscription_revenue])</f>
        <v>20153756.91</v>
      </c>
      <c r="D18" s="23">
        <f>_xlfn.XLOOKUP("FY2025",tbl_subscription_accounting[period],tbl_subscription_accounting[gl_subscription_revenue])</f>
        <v>26597200.510000002</v>
      </c>
      <c r="E18" s="23">
        <f>_xlfn.XLOOKUP("H1 2026",tbl_subscription_accounting[period],tbl_subscription_accounting[gl_subscription_revenue])</f>
        <v>15360769.6</v>
      </c>
    </row>
    <row r="19" spans="2:9" ht="15" customHeight="1" x14ac:dyDescent="0.35">
      <c r="B19" s="34" t="s">
        <v>345</v>
      </c>
      <c r="C19" s="24">
        <f>_xlfn.XLOOKUP("FY2024",tbl_subscription_accounting[period],tbl_subscription_accounting[ending_deferred_revenue])</f>
        <v>6697503.5299999993</v>
      </c>
      <c r="D19" s="24">
        <f>_xlfn.XLOOKUP("FY2025",tbl_subscription_accounting[period],tbl_subscription_accounting[ending_deferred_revenue])</f>
        <v>8435939.3599999975</v>
      </c>
      <c r="E19" s="24">
        <f>_xlfn.XLOOKUP("H1 2026",tbl_subscription_accounting[period],tbl_subscription_accounting[ending_deferred_revenue])</f>
        <v>10563773.5</v>
      </c>
    </row>
    <row r="20" spans="2:9" ht="15" customHeight="1" x14ac:dyDescent="0.35">
      <c r="B20" s="18" t="s">
        <v>346</v>
      </c>
      <c r="C20" s="23">
        <f>_xlfn.XLOOKUP("FY2024",tbl_subscription_accounting[period],tbl_subscription_accounting[ending_unbilled_receivable])</f>
        <v>254080.23000000039</v>
      </c>
      <c r="D20" s="23">
        <f>_xlfn.XLOOKUP("FY2025",tbl_subscription_accounting[period],tbl_subscription_accounting[ending_unbilled_receivable])</f>
        <v>300988.26000000042</v>
      </c>
      <c r="E20" s="23">
        <f>_xlfn.XLOOKUP("H1 2026",tbl_subscription_accounting[period],tbl_subscription_accounting[ending_unbilled_receivable])</f>
        <v>325963.71000000049</v>
      </c>
    </row>
    <row r="21" spans="2:9" ht="15" customHeight="1" x14ac:dyDescent="0.35"/>
    <row r="22" spans="2:9" ht="28.15" customHeight="1" x14ac:dyDescent="0.35">
      <c r="B22" s="298" t="s">
        <v>347</v>
      </c>
      <c r="C22" s="298"/>
      <c r="D22" s="298"/>
      <c r="E22" s="298"/>
      <c r="F22" s="298"/>
      <c r="G22" s="298"/>
      <c r="H22" s="298"/>
      <c r="I22" s="298"/>
    </row>
    <row r="23" spans="2:9" ht="15" customHeight="1" x14ac:dyDescent="0.35"/>
    <row r="24" spans="2:9" ht="12" customHeight="1" x14ac:dyDescent="0.35">
      <c r="B24" s="39" t="s">
        <v>348</v>
      </c>
    </row>
    <row r="25" spans="2:9" ht="7" customHeight="1" x14ac:dyDescent="0.35"/>
    <row r="26" spans="2:9" ht="15" customHeight="1" x14ac:dyDescent="0.35"/>
    <row r="27" spans="2:9" ht="18" customHeight="1" thickBot="1" x14ac:dyDescent="0.4">
      <c r="B27" s="103" t="s">
        <v>349</v>
      </c>
      <c r="C27" s="41"/>
      <c r="D27" s="41"/>
      <c r="E27" s="41"/>
      <c r="F27" s="41"/>
      <c r="G27" s="41"/>
      <c r="H27" s="41"/>
      <c r="I27" s="41"/>
    </row>
    <row r="28" spans="2:9" ht="30" customHeight="1" x14ac:dyDescent="0.35">
      <c r="B28" s="296" t="s">
        <v>944</v>
      </c>
      <c r="C28" s="296"/>
      <c r="D28" s="296"/>
      <c r="E28" s="296"/>
      <c r="F28" s="296"/>
      <c r="G28" s="296"/>
      <c r="H28" s="296"/>
      <c r="I28" s="296"/>
    </row>
    <row r="29" spans="2:9" ht="15" customHeight="1" x14ac:dyDescent="0.35">
      <c r="B29" s="117"/>
      <c r="C29" s="117"/>
      <c r="D29" s="117"/>
      <c r="E29" s="117"/>
      <c r="F29" s="117"/>
      <c r="G29" s="117"/>
      <c r="H29" s="117"/>
      <c r="I29" s="117"/>
    </row>
    <row r="30" spans="2:9" ht="15" customHeight="1" x14ac:dyDescent="0.35">
      <c r="B30" s="117"/>
      <c r="C30" s="117"/>
      <c r="D30" s="117"/>
      <c r="E30" s="117"/>
      <c r="F30" s="117"/>
      <c r="G30" s="117"/>
      <c r="H30" s="117"/>
      <c r="I30" s="117"/>
    </row>
    <row r="31" spans="2:9" ht="15" customHeight="1" x14ac:dyDescent="0.35">
      <c r="B31" s="117"/>
      <c r="C31" s="117"/>
      <c r="D31" s="117"/>
      <c r="E31" s="117"/>
      <c r="F31" s="117"/>
      <c r="G31" s="117"/>
      <c r="H31" s="117"/>
      <c r="I31" s="117"/>
    </row>
    <row r="32" spans="2:9" ht="15" customHeight="1" x14ac:dyDescent="0.35">
      <c r="B32" s="117"/>
      <c r="C32" s="117"/>
      <c r="D32" s="117"/>
      <c r="E32" s="117"/>
      <c r="F32" s="117"/>
      <c r="G32" s="117"/>
      <c r="H32" s="117"/>
      <c r="I32" s="117"/>
    </row>
    <row r="33" spans="2:9" ht="15" customHeight="1" x14ac:dyDescent="0.35">
      <c r="B33" s="117"/>
      <c r="C33" s="117"/>
      <c r="D33" s="117"/>
      <c r="E33" s="117"/>
      <c r="F33" s="117"/>
      <c r="G33" s="117"/>
      <c r="H33" s="117"/>
      <c r="I33" s="117"/>
    </row>
    <row r="34" spans="2:9" ht="15" customHeight="1" x14ac:dyDescent="0.35">
      <c r="B34" s="117"/>
      <c r="C34" s="117"/>
      <c r="D34" s="117"/>
      <c r="E34" s="117"/>
      <c r="F34" s="117"/>
      <c r="G34" s="117"/>
      <c r="H34" s="117"/>
      <c r="I34" s="117"/>
    </row>
    <row r="35" spans="2:9" ht="15" customHeight="1" x14ac:dyDescent="0.35">
      <c r="B35" s="117"/>
      <c r="C35" s="117"/>
      <c r="D35" s="117"/>
      <c r="E35" s="117"/>
      <c r="F35" s="117"/>
      <c r="G35" s="117"/>
      <c r="H35" s="117"/>
      <c r="I35" s="117"/>
    </row>
    <row r="36" spans="2:9" ht="15" customHeight="1" x14ac:dyDescent="0.35">
      <c r="B36" s="117"/>
      <c r="C36" s="117"/>
      <c r="D36" s="117"/>
      <c r="E36" s="117"/>
      <c r="F36" s="117"/>
      <c r="G36" s="117"/>
      <c r="H36" s="117"/>
      <c r="I36" s="117"/>
    </row>
    <row r="37" spans="2:9" ht="15" customHeight="1" x14ac:dyDescent="0.35">
      <c r="B37" s="117"/>
      <c r="C37" s="117"/>
      <c r="D37" s="117"/>
      <c r="E37" s="117"/>
      <c r="F37" s="117"/>
      <c r="G37" s="117"/>
      <c r="H37" s="117"/>
      <c r="I37" s="117"/>
    </row>
    <row r="38" spans="2:9" ht="15" customHeight="1" x14ac:dyDescent="0.35">
      <c r="B38" s="117"/>
      <c r="C38" s="117"/>
      <c r="D38" s="117"/>
      <c r="E38" s="117"/>
      <c r="F38" s="117"/>
      <c r="G38" s="117"/>
      <c r="H38" s="117"/>
      <c r="I38" s="117"/>
    </row>
    <row r="39" spans="2:9" ht="15" customHeight="1" x14ac:dyDescent="0.35">
      <c r="B39" s="117"/>
      <c r="C39" s="117"/>
      <c r="D39" s="117"/>
      <c r="E39" s="117"/>
      <c r="F39" s="117"/>
      <c r="G39" s="117"/>
      <c r="H39" s="117"/>
      <c r="I39" s="117"/>
    </row>
    <row r="40" spans="2:9" ht="15" customHeight="1" x14ac:dyDescent="0.35">
      <c r="B40" s="117"/>
      <c r="C40" s="117"/>
      <c r="D40" s="117"/>
      <c r="E40" s="117"/>
      <c r="F40" s="117"/>
      <c r="G40" s="117"/>
      <c r="H40" s="117"/>
      <c r="I40" s="117"/>
    </row>
    <row r="41" spans="2:9" ht="15" customHeight="1" x14ac:dyDescent="0.35">
      <c r="B41" s="117"/>
      <c r="C41" s="117"/>
      <c r="D41" s="117"/>
      <c r="E41" s="117"/>
      <c r="F41" s="117"/>
      <c r="G41" s="117"/>
      <c r="H41" s="117"/>
      <c r="I41" s="117"/>
    </row>
    <row r="42" spans="2:9" ht="15" customHeight="1" x14ac:dyDescent="0.35">
      <c r="B42" s="117"/>
      <c r="C42" s="117"/>
      <c r="D42" s="117"/>
      <c r="E42" s="117"/>
      <c r="F42" s="117"/>
      <c r="G42" s="117"/>
      <c r="H42" s="117"/>
      <c r="I42" s="117"/>
    </row>
    <row r="43" spans="2:9" ht="7" customHeight="1" x14ac:dyDescent="0.35">
      <c r="B43" s="117"/>
      <c r="C43" s="117"/>
      <c r="D43" s="117"/>
      <c r="E43" s="117"/>
      <c r="F43" s="117"/>
      <c r="G43" s="117"/>
      <c r="H43" s="117"/>
      <c r="I43" s="117"/>
    </row>
    <row r="44" spans="2:9" ht="7" customHeight="1" x14ac:dyDescent="0.35"/>
    <row r="45" spans="2:9" ht="28.15" customHeight="1" x14ac:dyDescent="0.35">
      <c r="B45" s="215" t="s">
        <v>350</v>
      </c>
      <c r="C45" s="216" t="s">
        <v>351</v>
      </c>
      <c r="D45" s="216" t="s">
        <v>352</v>
      </c>
      <c r="E45" s="216" t="s">
        <v>353</v>
      </c>
      <c r="F45" s="216" t="s">
        <v>354</v>
      </c>
      <c r="G45" s="216" t="s">
        <v>355</v>
      </c>
      <c r="H45" s="216" t="s">
        <v>346</v>
      </c>
      <c r="I45" s="216" t="s">
        <v>356</v>
      </c>
    </row>
    <row r="46" spans="2:9" ht="15" customHeight="1" x14ac:dyDescent="0.35">
      <c r="B46" s="232" t="s">
        <v>357</v>
      </c>
      <c r="C46" s="233">
        <v>5256937.09</v>
      </c>
      <c r="D46" s="233">
        <v>6718668.0499999998</v>
      </c>
      <c r="E46" s="233">
        <v>4854374.6999999983</v>
      </c>
      <c r="F46" s="233">
        <v>14456.529999999801</v>
      </c>
      <c r="G46" s="265">
        <v>7135686.9700000007</v>
      </c>
      <c r="H46" s="233">
        <v>218693.99000000019</v>
      </c>
      <c r="I46" s="77">
        <f t="shared" ref="I46:I55" si="0">ROUND(C46+D46-E46+F46-G46,2)</f>
        <v>0</v>
      </c>
    </row>
    <row r="47" spans="2:9" ht="15" customHeight="1" x14ac:dyDescent="0.35">
      <c r="B47" s="232" t="s">
        <v>358</v>
      </c>
      <c r="C47" s="233">
        <v>7135686.9700000007</v>
      </c>
      <c r="D47" s="233">
        <v>5136850.4000000004</v>
      </c>
      <c r="E47" s="233">
        <v>5254093.74</v>
      </c>
      <c r="F47" s="233">
        <v>2095.2599999999802</v>
      </c>
      <c r="G47" s="265">
        <v>7020538.8899999978</v>
      </c>
      <c r="H47" s="233">
        <v>220789.25000000009</v>
      </c>
      <c r="I47" s="77">
        <f t="shared" si="0"/>
        <v>0</v>
      </c>
    </row>
    <row r="48" spans="2:9" ht="15" customHeight="1" x14ac:dyDescent="0.35">
      <c r="B48" s="232" t="s">
        <v>359</v>
      </c>
      <c r="C48" s="233">
        <v>7020538.8899999978</v>
      </c>
      <c r="D48" s="233">
        <v>4532895.17</v>
      </c>
      <c r="E48" s="233">
        <v>5533165.25</v>
      </c>
      <c r="F48" s="233">
        <v>9303.5700000001525</v>
      </c>
      <c r="G48" s="265">
        <v>6029572.379999998</v>
      </c>
      <c r="H48" s="233">
        <v>230092.8200000003</v>
      </c>
      <c r="I48" s="77">
        <f t="shared" si="0"/>
        <v>0</v>
      </c>
    </row>
    <row r="49" spans="2:9" ht="15" customHeight="1" x14ac:dyDescent="0.35">
      <c r="B49" s="232" t="s">
        <v>360</v>
      </c>
      <c r="C49" s="233">
        <v>6029572.379999998</v>
      </c>
      <c r="D49" s="233">
        <v>6523735.2999999998</v>
      </c>
      <c r="E49" s="233">
        <v>5879791.5600000015</v>
      </c>
      <c r="F49" s="233">
        <v>23987.410000000062</v>
      </c>
      <c r="G49" s="265">
        <v>6697503.5299999993</v>
      </c>
      <c r="H49" s="233">
        <v>254080.23000000039</v>
      </c>
      <c r="I49" s="77">
        <f t="shared" si="0"/>
        <v>0</v>
      </c>
    </row>
    <row r="50" spans="2:9" ht="15" customHeight="1" x14ac:dyDescent="0.35">
      <c r="B50" s="232" t="s">
        <v>361</v>
      </c>
      <c r="C50" s="233">
        <v>6697503.5299999993</v>
      </c>
      <c r="D50" s="233">
        <v>8222840.0499999998</v>
      </c>
      <c r="E50" s="233">
        <v>6310786.96</v>
      </c>
      <c r="F50" s="233">
        <v>13269.76999999964</v>
      </c>
      <c r="G50" s="265">
        <v>8622826.3899999987</v>
      </c>
      <c r="H50" s="233">
        <v>267350</v>
      </c>
      <c r="I50" s="77">
        <f t="shared" si="0"/>
        <v>0</v>
      </c>
    </row>
    <row r="51" spans="2:9" ht="15" customHeight="1" x14ac:dyDescent="0.35">
      <c r="B51" s="232" t="s">
        <v>362</v>
      </c>
      <c r="C51" s="233">
        <v>8622826.3899999987</v>
      </c>
      <c r="D51" s="233">
        <v>6522222.8899999987</v>
      </c>
      <c r="E51" s="233">
        <v>6679879.25</v>
      </c>
      <c r="F51" s="233">
        <v>12602.100000000029</v>
      </c>
      <c r="G51" s="265">
        <v>8477772.129999999</v>
      </c>
      <c r="H51" s="233">
        <v>279952.09999999998</v>
      </c>
      <c r="I51" s="77">
        <f t="shared" si="0"/>
        <v>0</v>
      </c>
    </row>
    <row r="52" spans="2:9" ht="15" customHeight="1" x14ac:dyDescent="0.35">
      <c r="B52" s="232" t="s">
        <v>363</v>
      </c>
      <c r="C52" s="233">
        <v>8477772.129999999</v>
      </c>
      <c r="D52" s="233">
        <v>5664441.8100000015</v>
      </c>
      <c r="E52" s="233">
        <v>6948279.0800000001</v>
      </c>
      <c r="F52" s="233">
        <v>5188.7300000001551</v>
      </c>
      <c r="G52" s="265">
        <v>7199123.5900000008</v>
      </c>
      <c r="H52" s="233">
        <v>285140.83000000019</v>
      </c>
      <c r="I52" s="77">
        <f t="shared" si="0"/>
        <v>0</v>
      </c>
    </row>
    <row r="53" spans="2:9" ht="15" customHeight="1" x14ac:dyDescent="0.35">
      <c r="B53" s="232" t="s">
        <v>364</v>
      </c>
      <c r="C53" s="233">
        <v>7199123.5900000008</v>
      </c>
      <c r="D53" s="233">
        <v>8581803.1400000006</v>
      </c>
      <c r="E53" s="233">
        <v>7360834.8000000007</v>
      </c>
      <c r="F53" s="233">
        <v>15847.430000000229</v>
      </c>
      <c r="G53" s="265">
        <v>8435939.3599999975</v>
      </c>
      <c r="H53" s="233">
        <v>300988.26000000042</v>
      </c>
      <c r="I53" s="77">
        <f t="shared" si="0"/>
        <v>0</v>
      </c>
    </row>
    <row r="54" spans="2:9" ht="15" customHeight="1" x14ac:dyDescent="0.35">
      <c r="B54" s="232" t="s">
        <v>365</v>
      </c>
      <c r="C54" s="233">
        <v>8435939.3599999975</v>
      </c>
      <c r="D54" s="233">
        <v>10747789.109999999</v>
      </c>
      <c r="E54" s="233">
        <v>7633041.9699999997</v>
      </c>
      <c r="F54" s="233">
        <v>7109.8399999997346</v>
      </c>
      <c r="G54" s="265">
        <v>11557796.34</v>
      </c>
      <c r="H54" s="233">
        <v>308098.10000000009</v>
      </c>
      <c r="I54" s="77">
        <f t="shared" si="0"/>
        <v>0</v>
      </c>
    </row>
    <row r="55" spans="2:9" ht="15" customHeight="1" x14ac:dyDescent="0.35">
      <c r="B55" s="232" t="s">
        <v>366</v>
      </c>
      <c r="C55" s="233">
        <v>11557796.34</v>
      </c>
      <c r="D55" s="233">
        <v>7067885.2600000016</v>
      </c>
      <c r="E55" s="233">
        <v>8079773.71</v>
      </c>
      <c r="F55" s="233">
        <v>17865.610000000339</v>
      </c>
      <c r="G55" s="265">
        <v>10563773.5</v>
      </c>
      <c r="H55" s="233">
        <v>325963.71000000049</v>
      </c>
      <c r="I55" s="77">
        <f t="shared" si="0"/>
        <v>0</v>
      </c>
    </row>
    <row r="56" spans="2:9" ht="15" customHeight="1" x14ac:dyDescent="0.35"/>
    <row r="57" spans="2:9" ht="28.15" customHeight="1" x14ac:dyDescent="0.35">
      <c r="B57" s="298" t="s">
        <v>367</v>
      </c>
      <c r="C57" s="298"/>
      <c r="D57" s="298"/>
      <c r="E57" s="298"/>
      <c r="F57" s="298"/>
      <c r="G57" s="298"/>
      <c r="H57" s="298"/>
      <c r="I57" s="298"/>
    </row>
    <row r="58" spans="2:9" ht="15" customHeight="1" x14ac:dyDescent="0.35"/>
    <row r="59" spans="2:9" ht="12" customHeight="1" x14ac:dyDescent="0.35">
      <c r="B59" s="39" t="s">
        <v>368</v>
      </c>
    </row>
    <row r="60" spans="2:9" ht="7" customHeight="1" x14ac:dyDescent="0.35"/>
    <row r="61" spans="2:9" ht="15" customHeight="1" x14ac:dyDescent="0.35"/>
    <row r="62" spans="2:9" ht="18" customHeight="1" thickBot="1" x14ac:dyDescent="0.4">
      <c r="B62" s="103" t="s">
        <v>369</v>
      </c>
      <c r="C62" s="41"/>
      <c r="D62" s="41"/>
      <c r="E62" s="41"/>
      <c r="F62" s="41"/>
      <c r="G62" s="41"/>
      <c r="H62" s="136"/>
      <c r="I62" s="136"/>
    </row>
    <row r="63" spans="2:9" ht="30" customHeight="1" x14ac:dyDescent="0.35">
      <c r="B63" s="298" t="s">
        <v>945</v>
      </c>
      <c r="C63" s="298"/>
      <c r="D63" s="298"/>
      <c r="E63" s="298"/>
      <c r="F63" s="298"/>
      <c r="G63" s="298"/>
      <c r="H63" s="298"/>
      <c r="I63" s="298"/>
    </row>
    <row r="64" spans="2:9" ht="7" customHeight="1" x14ac:dyDescent="0.35"/>
    <row r="65" spans="2:9" ht="26" customHeight="1" x14ac:dyDescent="0.35">
      <c r="B65" s="20" t="s">
        <v>896</v>
      </c>
      <c r="C65" s="42" t="s">
        <v>337</v>
      </c>
      <c r="D65" s="42" t="s">
        <v>142</v>
      </c>
      <c r="E65" s="42" t="s">
        <v>338</v>
      </c>
      <c r="F65" s="42" t="s">
        <v>370</v>
      </c>
      <c r="G65" s="42" t="s">
        <v>371</v>
      </c>
    </row>
    <row r="66" spans="2:9" ht="15" customHeight="1" x14ac:dyDescent="0.35">
      <c r="B66" s="18" t="s">
        <v>372</v>
      </c>
      <c r="C66" s="48">
        <f>_xlfn.XLOOKUP("FY2024",tbl_commission[period],tbl_commission[beginning_commission_asset])</f>
        <v>0</v>
      </c>
      <c r="D66" s="48">
        <f>_xlfn.XLOOKUP("FY2025",tbl_commission[period],tbl_commission[beginning_commission_asset])</f>
        <v>324702.5584263333</v>
      </c>
      <c r="E66" s="48">
        <f>_xlfn.XLOOKUP("H1 2026",tbl_commission[period],tbl_commission[beginning_commission_asset])</f>
        <v>540215.85528299992</v>
      </c>
      <c r="F66" s="48">
        <f>_xlfn.XLOOKUP("H2 2026",tbl_commission[period],tbl_commission[beginning_commission_asset])</f>
        <v>592517.63470041659</v>
      </c>
      <c r="G66" s="48">
        <f>_xlfn.XLOOKUP("FY2027",tbl_commission[period],tbl_commission[beginning_commission_asset])</f>
        <v>579638.81770022237</v>
      </c>
    </row>
    <row r="67" spans="2:9" ht="15" customHeight="1" x14ac:dyDescent="0.35">
      <c r="B67" s="18" t="s">
        <v>373</v>
      </c>
      <c r="C67" s="48">
        <f>_xlfn.XLOOKUP("FY2024",tbl_commission[period],tbl_commission[commission_earned])</f>
        <v>658173.07440000004</v>
      </c>
      <c r="D67" s="48">
        <f>_xlfn.XLOOKUP("FY2025",tbl_commission[period],tbl_commission[commission_earned])</f>
        <v>709836.13890000002</v>
      </c>
      <c r="E67" s="48">
        <f>_xlfn.XLOOKUP("H1 2026",tbl_commission[period],tbl_commission[commission_earned])</f>
        <v>347144.74290000001</v>
      </c>
      <c r="F67" s="48">
        <f>_xlfn.XLOOKUP("H2 2026",tbl_commission[period],tbl_commission[commission_earned])</f>
        <v>291529.1809978871</v>
      </c>
      <c r="G67" s="48">
        <f>_xlfn.XLOOKUP("FY2027",tbl_commission[period],tbl_commission[commission_earned])</f>
        <v>736488.79315118655</v>
      </c>
    </row>
    <row r="68" spans="2:9" ht="15" customHeight="1" x14ac:dyDescent="0.35">
      <c r="B68" s="18" t="s">
        <v>374</v>
      </c>
      <c r="C68" s="48">
        <f>_xlfn.XLOOKUP("FY2024",tbl_commission[period],tbl_commission[immediate_expense])</f>
        <v>269850.96050400002</v>
      </c>
      <c r="D68" s="48">
        <f>_xlfn.XLOOKUP("FY2025",tbl_commission[period],tbl_commission[immediate_expense])</f>
        <v>291032.816949</v>
      </c>
      <c r="E68" s="48">
        <f>_xlfn.XLOOKUP("H1 2026",tbl_commission[period],tbl_commission[immediate_expense])</f>
        <v>142329.34458899999</v>
      </c>
      <c r="F68" s="48">
        <f>_xlfn.XLOOKUP("H2 2026",tbl_commission[period],tbl_commission[immediate_expense])</f>
        <v>119526.9642091337</v>
      </c>
      <c r="G68" s="48">
        <f>_xlfn.XLOOKUP("FY2027",tbl_commission[period],tbl_commission[immediate_expense])</f>
        <v>301960.40519198647</v>
      </c>
    </row>
    <row r="69" spans="2:9" ht="15" customHeight="1" x14ac:dyDescent="0.35">
      <c r="B69" s="18" t="s">
        <v>375</v>
      </c>
      <c r="C69" s="48">
        <f>_xlfn.XLOOKUP("FY2024",tbl_commission[period],tbl_commission[capitalised_commission])</f>
        <v>388322.11389600002</v>
      </c>
      <c r="D69" s="48">
        <f>_xlfn.XLOOKUP("FY2025",tbl_commission[period],tbl_commission[capitalised_commission])</f>
        <v>418803.32195100008</v>
      </c>
      <c r="E69" s="48">
        <f>_xlfn.XLOOKUP("H1 2026",tbl_commission[period],tbl_commission[capitalised_commission])</f>
        <v>204815.398311</v>
      </c>
      <c r="F69" s="48">
        <f>_xlfn.XLOOKUP("H2 2026",tbl_commission[period],tbl_commission[capitalised_commission])</f>
        <v>172002.2167887534</v>
      </c>
      <c r="G69" s="48">
        <f>_xlfn.XLOOKUP("FY2027",tbl_commission[period],tbl_commission[capitalised_commission])</f>
        <v>434528.38795920007</v>
      </c>
    </row>
    <row r="70" spans="2:9" ht="15" customHeight="1" x14ac:dyDescent="0.35">
      <c r="B70" s="18" t="s">
        <v>376</v>
      </c>
      <c r="C70" s="48">
        <f>_xlfn.XLOOKUP("FY2024",tbl_commission[period],tbl_commission[commission_amortisation])</f>
        <v>63619.555469666673</v>
      </c>
      <c r="D70" s="48">
        <f>_xlfn.XLOOKUP("FY2025",tbl_commission[period],tbl_commission[commission_amortisation])</f>
        <v>203290.0250943334</v>
      </c>
      <c r="E70" s="48">
        <f>_xlfn.XLOOKUP("H1 2026",tbl_commission[period],tbl_commission[commission_amortisation])</f>
        <v>152513.61889358339</v>
      </c>
      <c r="F70" s="48">
        <f>_xlfn.XLOOKUP("H2 2026",tbl_commission[period],tbl_commission[commission_amortisation])</f>
        <v>184881.03378894771</v>
      </c>
      <c r="G70" s="48">
        <f>_xlfn.XLOOKUP("FY2027",tbl_commission[period],tbl_commission[commission_amortisation])</f>
        <v>409943.5889111252</v>
      </c>
    </row>
    <row r="71" spans="2:9" ht="15" customHeight="1" x14ac:dyDescent="0.35">
      <c r="B71" s="34" t="s">
        <v>377</v>
      </c>
      <c r="C71" s="33">
        <f>_xlfn.XLOOKUP("FY2024",tbl_commission[period],tbl_commission[gaap_commission_expense])</f>
        <v>333470.51597366668</v>
      </c>
      <c r="D71" s="33">
        <f>_xlfn.XLOOKUP("FY2025",tbl_commission[period],tbl_commission[gaap_commission_expense])</f>
        <v>494322.8420433334</v>
      </c>
      <c r="E71" s="33">
        <f>_xlfn.XLOOKUP("H1 2026",tbl_commission[period],tbl_commission[gaap_commission_expense])</f>
        <v>294842.96348258329</v>
      </c>
      <c r="F71" s="33">
        <f>_xlfn.XLOOKUP("H2 2026",tbl_commission[period],tbl_commission[gaap_commission_expense])</f>
        <v>304407.99799808138</v>
      </c>
      <c r="G71" s="33">
        <f>_xlfn.XLOOKUP("FY2027",tbl_commission[period],tbl_commission[gaap_commission_expense])</f>
        <v>711903.99410311168</v>
      </c>
    </row>
    <row r="72" spans="2:9" ht="15" customHeight="1" x14ac:dyDescent="0.35">
      <c r="B72" s="18" t="s">
        <v>378</v>
      </c>
      <c r="C72" s="48">
        <f>_xlfn.XLOOKUP("FY2024",tbl_commission[period],tbl_commission[commission_paid_cash])</f>
        <v>594628.29638700001</v>
      </c>
      <c r="D72" s="48">
        <f>_xlfn.XLOOKUP("FY2025",tbl_commission[period],tbl_commission[commission_paid_cash])</f>
        <v>722880.53974799998</v>
      </c>
      <c r="E72" s="48">
        <f>_xlfn.XLOOKUP("H1 2026",tbl_commission[period],tbl_commission[commission_paid_cash])</f>
        <v>354482.20884299988</v>
      </c>
      <c r="F72" s="48">
        <f>_xlfn.XLOOKUP("H2 2026",tbl_commission[period],tbl_commission[commission_paid_cash])</f>
        <v>296564.55431188841</v>
      </c>
      <c r="G72" s="48">
        <f>_xlfn.XLOOKUP("FY2027",tbl_commission[period],tbl_commission[commission_paid_cash])</f>
        <v>736558.57176671841</v>
      </c>
    </row>
    <row r="73" spans="2:9" ht="15" customHeight="1" x14ac:dyDescent="0.35">
      <c r="B73" s="34" t="s">
        <v>379</v>
      </c>
      <c r="C73" s="33">
        <f>_xlfn.XLOOKUP("FY2024",tbl_commission[period],tbl_commission[ending_commission_asset])</f>
        <v>324702.5584263333</v>
      </c>
      <c r="D73" s="33">
        <f>_xlfn.XLOOKUP("FY2025",tbl_commission[period],tbl_commission[ending_commission_asset])</f>
        <v>540215.85528299992</v>
      </c>
      <c r="E73" s="33">
        <f>_xlfn.XLOOKUP("H1 2026",tbl_commission[period],tbl_commission[ending_commission_asset])</f>
        <v>592517.63470041659</v>
      </c>
      <c r="F73" s="33">
        <f>_xlfn.XLOOKUP("H2 2026",tbl_commission[period],tbl_commission[ending_commission_asset])</f>
        <v>579638.81770022237</v>
      </c>
      <c r="G73" s="33">
        <f>_xlfn.XLOOKUP("FY2027",tbl_commission[period],tbl_commission[ending_commission_asset])</f>
        <v>604223.61674829712</v>
      </c>
    </row>
    <row r="74" spans="2:9" ht="15" customHeight="1" x14ac:dyDescent="0.35"/>
    <row r="75" spans="2:9" ht="28.15" customHeight="1" x14ac:dyDescent="0.35">
      <c r="B75" s="298" t="s">
        <v>380</v>
      </c>
      <c r="C75" s="298"/>
      <c r="D75" s="298"/>
      <c r="E75" s="298"/>
      <c r="F75" s="298"/>
      <c r="G75" s="298"/>
      <c r="H75" s="298"/>
      <c r="I75" s="298"/>
    </row>
    <row r="76" spans="2:9" ht="15" customHeight="1" x14ac:dyDescent="0.35"/>
    <row r="77" spans="2:9" ht="12" customHeight="1" x14ac:dyDescent="0.35">
      <c r="B77" s="22" t="s">
        <v>381</v>
      </c>
    </row>
    <row r="78" spans="2:9" ht="15" customHeight="1" x14ac:dyDescent="0.35"/>
    <row r="79" spans="2:9" ht="12" customHeight="1" x14ac:dyDescent="0.35">
      <c r="B79" s="39" t="s">
        <v>382</v>
      </c>
    </row>
    <row r="80" spans="2:9" ht="7" customHeight="1" x14ac:dyDescent="0.35"/>
    <row r="81" spans="2:9" ht="15" customHeight="1" x14ac:dyDescent="0.35"/>
    <row r="82" spans="2:9" ht="18" customHeight="1" thickBot="1" x14ac:dyDescent="0.4">
      <c r="B82" s="103" t="s">
        <v>383</v>
      </c>
      <c r="C82" s="41"/>
      <c r="D82" s="41"/>
      <c r="E82" s="41"/>
      <c r="F82" s="41"/>
      <c r="G82" s="136"/>
      <c r="H82" s="136"/>
      <c r="I82" s="136"/>
    </row>
    <row r="83" spans="2:9" ht="30" customHeight="1" x14ac:dyDescent="0.35">
      <c r="B83" s="298" t="s">
        <v>384</v>
      </c>
      <c r="C83" s="298"/>
      <c r="D83" s="298"/>
      <c r="E83" s="298"/>
      <c r="F83" s="298"/>
      <c r="G83" s="298"/>
      <c r="H83" s="298"/>
      <c r="I83" s="298"/>
    </row>
    <row r="84" spans="2:9" ht="7" customHeight="1" x14ac:dyDescent="0.35"/>
    <row r="85" spans="2:9" ht="38.5" customHeight="1" x14ac:dyDescent="0.35">
      <c r="B85" s="20" t="s">
        <v>32</v>
      </c>
      <c r="C85" s="42" t="s">
        <v>385</v>
      </c>
      <c r="D85" s="42" t="s">
        <v>386</v>
      </c>
      <c r="E85" s="42" t="s">
        <v>387</v>
      </c>
      <c r="F85" s="42" t="s">
        <v>388</v>
      </c>
    </row>
    <row r="86" spans="2:9" ht="15" customHeight="1" x14ac:dyDescent="0.35">
      <c r="B86" s="18" t="s">
        <v>389</v>
      </c>
      <c r="C86" s="59">
        <v>2.1499583352124301E-2</v>
      </c>
      <c r="D86" s="23">
        <v>64154559.159999989</v>
      </c>
      <c r="E86" s="104">
        <v>3.351216754292526E-10</v>
      </c>
      <c r="F86" s="105">
        <v>1.6156750003574399E-2</v>
      </c>
    </row>
    <row r="87" spans="2:9" ht="15" customHeight="1" x14ac:dyDescent="0.35">
      <c r="B87" s="18" t="s">
        <v>370</v>
      </c>
      <c r="C87" s="59">
        <v>22823.893788947698</v>
      </c>
      <c r="D87" s="23">
        <v>17095636.19165137</v>
      </c>
      <c r="E87" s="104">
        <v>1.33507133241954E-3</v>
      </c>
      <c r="F87" s="105">
        <v>5877.783637409826</v>
      </c>
    </row>
    <row r="88" spans="2:9" ht="15" customHeight="1" x14ac:dyDescent="0.35">
      <c r="B88" s="18" t="s">
        <v>371</v>
      </c>
      <c r="C88" s="59">
        <v>85829.308911125161</v>
      </c>
      <c r="D88" s="23">
        <v>37709181.32500916</v>
      </c>
      <c r="E88" s="104">
        <v>2.2760851839072459E-3</v>
      </c>
      <c r="F88" s="105">
        <v>8272.4684347716538</v>
      </c>
    </row>
    <row r="89" spans="2:9" ht="15" customHeight="1" x14ac:dyDescent="0.35"/>
    <row r="90" spans="2:9" ht="28.15" customHeight="1" x14ac:dyDescent="0.35">
      <c r="B90" s="298" t="s">
        <v>390</v>
      </c>
      <c r="C90" s="298"/>
      <c r="D90" s="298"/>
      <c r="E90" s="298"/>
      <c r="F90" s="298"/>
      <c r="G90" s="298"/>
      <c r="H90" s="298"/>
      <c r="I90" s="298"/>
    </row>
    <row r="91" spans="2:9" ht="15" customHeight="1" x14ac:dyDescent="0.35"/>
    <row r="92" spans="2:9" ht="12" customHeight="1" x14ac:dyDescent="0.35">
      <c r="B92" s="39" t="s">
        <v>391</v>
      </c>
    </row>
    <row r="93" spans="2:9" ht="7" customHeight="1" x14ac:dyDescent="0.35"/>
  </sheetData>
  <mergeCells count="9">
    <mergeCell ref="B83:I83"/>
    <mergeCell ref="B90:I90"/>
    <mergeCell ref="B7:I7"/>
    <mergeCell ref="B22:I22"/>
    <mergeCell ref="B28:I28"/>
    <mergeCell ref="B57:I57"/>
    <mergeCell ref="B63:I63"/>
    <mergeCell ref="B75:I75"/>
    <mergeCell ref="B10:I10"/>
  </mergeCells>
  <hyperlinks>
    <hyperlink ref="I1" location="'Model Guide'!A1" display="← Model Guide" xr:uid="{DD9B6AC4-1D38-4816-A056-B714015AD812}"/>
  </hyperlinks>
  <pageMargins left="0.19444444444444445" right="0.19444444444444445" top="0.27777777777777779" bottom="0.27777777777777779" header="0.5" footer="0.5"/>
  <pageSetup scale="88" fitToHeight="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95959"/>
    <pageSetUpPr fitToPage="1"/>
  </sheetPr>
  <dimension ref="B1:Y59"/>
  <sheetViews>
    <sheetView showGridLines="0" zoomScaleNormal="100" workbookViewId="0">
      <pane xSplit="2" ySplit="6" topLeftCell="C7" activePane="bottomRight" state="frozen"/>
      <selection pane="topRight" activeCell="C1" sqref="C1"/>
      <selection pane="bottomLeft" activeCell="A7" sqref="A7"/>
      <selection pane="bottomRight"/>
    </sheetView>
  </sheetViews>
  <sheetFormatPr defaultRowHeight="14" customHeight="1" x14ac:dyDescent="0.35"/>
  <cols>
    <col min="1" max="1" width="1.81640625" customWidth="1"/>
    <col min="2" max="2" width="38.6328125" customWidth="1"/>
    <col min="3" max="3" width="12.6328125" customWidth="1"/>
    <col min="4" max="4" width="52.6328125" customWidth="1"/>
    <col min="5" max="6" width="13.6328125" customWidth="1"/>
  </cols>
  <sheetData>
    <row r="1" spans="2:25" ht="24" customHeight="1" x14ac:dyDescent="0.35">
      <c r="B1" s="37" t="s">
        <v>0</v>
      </c>
      <c r="F1" s="147" t="s">
        <v>939</v>
      </c>
    </row>
    <row r="2" spans="2:25" ht="15" customHeight="1" x14ac:dyDescent="0.35">
      <c r="B2" s="38" t="s">
        <v>490</v>
      </c>
    </row>
    <row r="3" spans="2:25" ht="12" customHeight="1" x14ac:dyDescent="0.35">
      <c r="B3" s="39" t="s">
        <v>2</v>
      </c>
    </row>
    <row r="4" spans="2:25" ht="12" customHeight="1" x14ac:dyDescent="0.35">
      <c r="B4" s="39" t="s">
        <v>897</v>
      </c>
    </row>
    <row r="5" spans="2:25" ht="7" customHeight="1" x14ac:dyDescent="0.35">
      <c r="B5" s="40"/>
      <c r="C5" s="40"/>
      <c r="D5" s="40"/>
      <c r="E5" s="40"/>
      <c r="F5" s="40"/>
      <c r="G5" s="46"/>
      <c r="H5" s="46"/>
      <c r="I5" s="46"/>
      <c r="J5" s="46"/>
      <c r="K5" s="46"/>
      <c r="L5" s="46"/>
      <c r="M5" s="46"/>
      <c r="N5" s="46"/>
      <c r="O5" s="46"/>
      <c r="P5" s="46"/>
      <c r="Q5" s="46"/>
      <c r="R5" s="46"/>
      <c r="S5" s="46"/>
      <c r="T5" s="46"/>
      <c r="U5" s="46"/>
      <c r="V5" s="46"/>
      <c r="W5" s="46"/>
      <c r="X5" s="46"/>
      <c r="Y5" s="46"/>
    </row>
    <row r="6" spans="2:25" ht="7" customHeight="1" x14ac:dyDescent="0.35"/>
    <row r="7" spans="2:25" ht="12" customHeight="1" x14ac:dyDescent="0.35">
      <c r="B7" s="113" t="s">
        <v>491</v>
      </c>
    </row>
    <row r="8" spans="2:25" ht="26" customHeight="1" x14ac:dyDescent="0.35">
      <c r="B8" s="114" t="str">
        <f>IF(SUM(tbl_controls[Violations])=0,"READY / PASS","FAIL")</f>
        <v>READY / PASS</v>
      </c>
      <c r="C8" s="46"/>
      <c r="D8" s="46"/>
      <c r="E8" s="46"/>
      <c r="F8" s="46"/>
    </row>
    <row r="9" spans="2:25" ht="20" customHeight="1" x14ac:dyDescent="0.35">
      <c r="B9" s="314" t="str">
        <f>"All  "&amp;(COUNTIF(tbl_controls[Status],"PASS")+COUNTIF($E$1:$E$200,"PASS")+COUNTIF('Forecast Drivers'!$E$1:$E$200,"PASS")+COUNTIF('Cash Flow'!$E$1:$E$200,"PASS"))&amp;"  controls PASS   --   6 upstream analytical, 11 workbook-level, 9 model controls on Forecast Drivers and Cash Flow"</f>
        <v>All  26  controls PASS   --   6 upstream analytical, 11 workbook-level, 9 model controls on Forecast Drivers and Cash Flow</v>
      </c>
      <c r="C9" s="315"/>
      <c r="D9" s="315"/>
      <c r="E9" s="315"/>
      <c r="F9" s="315"/>
    </row>
    <row r="10" spans="2:25" ht="7" customHeight="1" x14ac:dyDescent="0.35">
      <c r="B10" s="114"/>
      <c r="C10" s="46"/>
      <c r="D10" s="46"/>
      <c r="E10" s="46"/>
      <c r="F10" s="46"/>
    </row>
    <row r="11" spans="2:25" ht="12" customHeight="1" x14ac:dyDescent="0.35">
      <c r="B11" s="22" t="str">
        <f>IF(SUM(tbl_controls[Violations])=0,"Every upstream control returned zero violation rows.","One or more upstream controls returned violation rows -- see the table below.")</f>
        <v>Every upstream control returned zero violation rows.</v>
      </c>
    </row>
    <row r="12" spans="2:25" ht="15" customHeight="1" x14ac:dyDescent="0.35"/>
    <row r="13" spans="2:25" ht="18" customHeight="1" thickBot="1" x14ac:dyDescent="0.4">
      <c r="B13" s="21" t="s">
        <v>492</v>
      </c>
      <c r="C13" s="41"/>
      <c r="D13" s="41"/>
      <c r="E13" s="41"/>
      <c r="F13" s="41"/>
    </row>
    <row r="14" spans="2:25" ht="30" customHeight="1" x14ac:dyDescent="0.35">
      <c r="B14" s="296" t="s">
        <v>493</v>
      </c>
      <c r="C14" s="296"/>
      <c r="D14" s="296"/>
      <c r="E14" s="296"/>
      <c r="F14" s="296"/>
    </row>
    <row r="15" spans="2:25" ht="7" customHeight="1" x14ac:dyDescent="0.35"/>
    <row r="16" spans="2:25" ht="26" customHeight="1" x14ac:dyDescent="0.35">
      <c r="B16" s="115" t="s">
        <v>494</v>
      </c>
      <c r="C16" s="115" t="s">
        <v>495</v>
      </c>
      <c r="D16" s="115" t="s">
        <v>496</v>
      </c>
      <c r="E16" s="115" t="s">
        <v>497</v>
      </c>
      <c r="F16" s="115" t="s">
        <v>498</v>
      </c>
    </row>
    <row r="17" spans="2:6" ht="30.75" customHeight="1" x14ac:dyDescent="0.35">
      <c r="B17" s="18" t="s">
        <v>499</v>
      </c>
      <c r="C17" s="18" t="s">
        <v>500</v>
      </c>
      <c r="D17" s="119" t="s">
        <v>501</v>
      </c>
      <c r="E17" s="48">
        <v>0</v>
      </c>
      <c r="F17" s="120" t="s">
        <v>502</v>
      </c>
    </row>
    <row r="18" spans="2:6" ht="30.75" customHeight="1" x14ac:dyDescent="0.35">
      <c r="B18" s="18" t="s">
        <v>503</v>
      </c>
      <c r="C18" s="18" t="s">
        <v>504</v>
      </c>
      <c r="D18" s="119" t="s">
        <v>505</v>
      </c>
      <c r="E18" s="48">
        <v>0</v>
      </c>
      <c r="F18" s="120" t="s">
        <v>502</v>
      </c>
    </row>
    <row r="19" spans="2:6" ht="30.75" customHeight="1" x14ac:dyDescent="0.35">
      <c r="B19" s="18" t="s">
        <v>506</v>
      </c>
      <c r="C19" s="18" t="s">
        <v>507</v>
      </c>
      <c r="D19" s="119" t="s">
        <v>508</v>
      </c>
      <c r="E19" s="48">
        <v>0</v>
      </c>
      <c r="F19" s="120" t="s">
        <v>502</v>
      </c>
    </row>
    <row r="20" spans="2:6" ht="30.75" customHeight="1" x14ac:dyDescent="0.35">
      <c r="B20" s="18" t="s">
        <v>509</v>
      </c>
      <c r="C20" s="18" t="s">
        <v>510</v>
      </c>
      <c r="D20" s="119" t="s">
        <v>511</v>
      </c>
      <c r="E20" s="48">
        <v>0</v>
      </c>
      <c r="F20" s="120" t="s">
        <v>502</v>
      </c>
    </row>
    <row r="21" spans="2:6" ht="30.75" customHeight="1" x14ac:dyDescent="0.35">
      <c r="B21" s="18" t="s">
        <v>512</v>
      </c>
      <c r="C21" s="18" t="s">
        <v>513</v>
      </c>
      <c r="D21" s="119" t="s">
        <v>514</v>
      </c>
      <c r="E21" s="48">
        <v>0</v>
      </c>
      <c r="F21" s="120" t="s">
        <v>502</v>
      </c>
    </row>
    <row r="22" spans="2:6" ht="30.75" customHeight="1" x14ac:dyDescent="0.35">
      <c r="B22" s="18" t="s">
        <v>515</v>
      </c>
      <c r="C22" s="18" t="s">
        <v>516</v>
      </c>
      <c r="D22" s="119" t="s">
        <v>517</v>
      </c>
      <c r="E22" s="48">
        <v>0</v>
      </c>
      <c r="F22" s="120" t="s">
        <v>502</v>
      </c>
    </row>
    <row r="23" spans="2:6" ht="15" customHeight="1" x14ac:dyDescent="0.35"/>
    <row r="24" spans="2:6" ht="12" customHeight="1" x14ac:dyDescent="0.35">
      <c r="B24" s="39" t="s">
        <v>518</v>
      </c>
    </row>
    <row r="25" spans="2:6" ht="7" customHeight="1" x14ac:dyDescent="0.35"/>
    <row r="26" spans="2:6" ht="15" customHeight="1" x14ac:dyDescent="0.35"/>
    <row r="27" spans="2:6" ht="18" customHeight="1" thickBot="1" x14ac:dyDescent="0.4">
      <c r="B27" s="21" t="s">
        <v>519</v>
      </c>
      <c r="C27" s="41"/>
      <c r="D27" s="41"/>
      <c r="E27" s="41"/>
      <c r="F27" s="41"/>
    </row>
    <row r="28" spans="2:6" ht="30" customHeight="1" x14ac:dyDescent="0.35">
      <c r="B28" s="296" t="s">
        <v>520</v>
      </c>
      <c r="C28" s="296"/>
      <c r="D28" s="296"/>
      <c r="E28" s="296"/>
      <c r="F28" s="296"/>
    </row>
    <row r="29" spans="2:6" ht="7" customHeight="1" x14ac:dyDescent="0.35"/>
    <row r="30" spans="2:6" ht="26" customHeight="1" x14ac:dyDescent="0.35">
      <c r="B30" s="20" t="s">
        <v>521</v>
      </c>
      <c r="D30" s="20" t="s">
        <v>22</v>
      </c>
      <c r="E30" s="20" t="s">
        <v>498</v>
      </c>
    </row>
    <row r="31" spans="2:6" ht="15" customHeight="1" x14ac:dyDescent="0.35">
      <c r="B31" s="18" t="s">
        <v>522</v>
      </c>
      <c r="D31" s="22" t="s">
        <v>523</v>
      </c>
      <c r="E31" s="121" t="s">
        <v>502</v>
      </c>
    </row>
    <row r="32" spans="2:6" ht="15" customHeight="1" x14ac:dyDescent="0.35">
      <c r="B32" s="18" t="s">
        <v>524</v>
      </c>
      <c r="D32" s="22" t="s">
        <v>525</v>
      </c>
      <c r="E32" s="121" t="s">
        <v>502</v>
      </c>
    </row>
    <row r="33" spans="2:6" ht="15" customHeight="1" x14ac:dyDescent="0.35">
      <c r="B33" s="18" t="s">
        <v>526</v>
      </c>
      <c r="D33" s="22" t="s">
        <v>400</v>
      </c>
      <c r="E33" s="121" t="s">
        <v>502</v>
      </c>
    </row>
    <row r="34" spans="2:6" ht="15" customHeight="1" x14ac:dyDescent="0.35">
      <c r="B34" s="18" t="s">
        <v>527</v>
      </c>
      <c r="D34" s="22" t="s">
        <v>528</v>
      </c>
      <c r="E34" s="121" t="s">
        <v>502</v>
      </c>
    </row>
    <row r="35" spans="2:6" ht="15" customHeight="1" x14ac:dyDescent="0.35">
      <c r="B35" s="18" t="s">
        <v>529</v>
      </c>
      <c r="D35" s="22" t="s">
        <v>530</v>
      </c>
      <c r="E35" s="121" t="s">
        <v>502</v>
      </c>
    </row>
    <row r="36" spans="2:6" ht="15" customHeight="1" x14ac:dyDescent="0.35">
      <c r="B36" s="18" t="s">
        <v>531</v>
      </c>
      <c r="D36" s="22" t="s">
        <v>532</v>
      </c>
      <c r="E36" s="121" t="s">
        <v>502</v>
      </c>
    </row>
    <row r="37" spans="2:6" ht="15" customHeight="1" x14ac:dyDescent="0.35">
      <c r="B37" s="18" t="s">
        <v>533</v>
      </c>
      <c r="D37" s="22" t="s">
        <v>534</v>
      </c>
      <c r="E37" s="121" t="s">
        <v>502</v>
      </c>
    </row>
    <row r="38" spans="2:6" ht="15" customHeight="1" x14ac:dyDescent="0.35">
      <c r="B38" s="18" t="s">
        <v>535</v>
      </c>
      <c r="D38" s="22" t="s">
        <v>536</v>
      </c>
      <c r="E38" s="121" t="s">
        <v>502</v>
      </c>
    </row>
    <row r="39" spans="2:6" ht="15" customHeight="1" x14ac:dyDescent="0.35">
      <c r="B39" s="18" t="s">
        <v>941</v>
      </c>
      <c r="D39" s="22" t="s">
        <v>537</v>
      </c>
      <c r="E39" s="121" t="s">
        <v>502</v>
      </c>
    </row>
    <row r="40" spans="2:6" ht="15" customHeight="1" x14ac:dyDescent="0.35">
      <c r="B40" s="18" t="s">
        <v>538</v>
      </c>
      <c r="D40" s="22" t="s">
        <v>539</v>
      </c>
      <c r="E40" s="121" t="s">
        <v>502</v>
      </c>
    </row>
    <row r="41" spans="2:6" ht="15" customHeight="1" x14ac:dyDescent="0.35">
      <c r="B41" s="18" t="s">
        <v>540</v>
      </c>
      <c r="D41" s="22" t="s">
        <v>940</v>
      </c>
      <c r="E41" s="121" t="s">
        <v>502</v>
      </c>
    </row>
    <row r="42" spans="2:6" ht="15" customHeight="1" x14ac:dyDescent="0.35"/>
    <row r="43" spans="2:6" ht="18" customHeight="1" x14ac:dyDescent="0.35">
      <c r="B43" s="21" t="s">
        <v>541</v>
      </c>
      <c r="C43" s="41"/>
      <c r="D43" s="41"/>
      <c r="E43" s="41"/>
      <c r="F43" s="41"/>
    </row>
    <row r="44" spans="2:6" ht="7" customHeight="1" x14ac:dyDescent="0.35"/>
    <row r="45" spans="2:6" ht="26" customHeight="1" x14ac:dyDescent="0.35">
      <c r="B45" s="20" t="s">
        <v>24</v>
      </c>
      <c r="C45" s="20" t="s">
        <v>25</v>
      </c>
      <c r="D45" s="20" t="s">
        <v>26</v>
      </c>
    </row>
    <row r="46" spans="2:6" ht="30.75" customHeight="1" x14ac:dyDescent="0.35">
      <c r="B46" s="34" t="str">
        <f>_xlfn.XLOOKUP(1,tbl_commentary[exec_rank],tbl_commentary[priority])</f>
        <v>Critical</v>
      </c>
      <c r="C46" s="22" t="str">
        <f>_xlfn.XLOOKUP(1,tbl_commentary[exec_rank],tbl_commentary[section])</f>
        <v>Runway</v>
      </c>
      <c r="D46" s="119" t="str">
        <f>_xlfn.XLOOKUP(1,tbl_commentary[exec_rank],tbl_commentary[headline])</f>
        <v>Bear policy runway falls below the 24-month Board floor, while Base and Bull remain above it.</v>
      </c>
    </row>
    <row r="47" spans="2:6" ht="17.399999999999999" customHeight="1" x14ac:dyDescent="0.35">
      <c r="B47" s="34" t="str">
        <f>_xlfn.XLOOKUP(2,tbl_commentary[exec_rank],tbl_commentary[priority])</f>
        <v>High</v>
      </c>
      <c r="C47" s="22" t="str">
        <f>_xlfn.XLOOKUP(2,tbl_commentary[exec_rank],tbl_commentary[section])</f>
        <v>ARR</v>
      </c>
      <c r="D47" s="119" t="str">
        <f>_xlfn.XLOOKUP(2,tbl_commentary[exec_rank],tbl_commentary[headline])</f>
        <v>FY2026 New Logo ARR is $2.79M below Budget.</v>
      </c>
    </row>
    <row r="48" spans="2:6" ht="17.399999999999999" customHeight="1" x14ac:dyDescent="0.35">
      <c r="B48" s="34" t="str">
        <f>_xlfn.XLOOKUP(3,tbl_commentary[exec_rank],tbl_commentary[priority])</f>
        <v>High</v>
      </c>
      <c r="C48" s="22" t="str">
        <f>_xlfn.XLOOKUP(3,tbl_commentary[exec_rank],tbl_commentary[section])</f>
        <v>ARR</v>
      </c>
      <c r="D48" s="119" t="str">
        <f>_xlfn.XLOOKUP(3,tbl_commentary[exec_rank],tbl_commentary[headline])</f>
        <v>Dec-2026 Exit ARR is $2.77M below Budget.</v>
      </c>
    </row>
    <row r="49" spans="2:6" ht="57.65" customHeight="1" x14ac:dyDescent="0.35">
      <c r="B49" s="34" t="str">
        <f>_xlfn.XLOOKUP(4,tbl_commentary[exec_rank],tbl_commentary[priority])</f>
        <v>High</v>
      </c>
      <c r="C49" s="22" t="str">
        <f>_xlfn.XLOOKUP(4,tbl_commentary[exec_rank],tbl_commentary[section])</f>
        <v>Hiring</v>
      </c>
      <c r="D49" s="119" t="str">
        <f>_xlfn.XLOOKUP(4,tbl_commentary[exec_rank],tbl_commentary[headline])</f>
        <v>Full Capacity-Close hiring (4 hires) is affordable against the Board's 24-month runway floor: 24.7 months (0.7 months of headroom). Targeted / Runway-Constrained hiring computes to 0 incremental hires.</v>
      </c>
    </row>
    <row r="50" spans="2:6" ht="44.25" customHeight="1" x14ac:dyDescent="0.35">
      <c r="B50" s="34" t="str">
        <f>_xlfn.XLOOKUP(5,tbl_commentary[exec_rank],tbl_commentary[priority])</f>
        <v>Medium</v>
      </c>
      <c r="C50" s="22" t="str">
        <f>_xlfn.XLOOKUP(5,tbl_commentary[exec_rank],tbl_commentary[section])</f>
        <v>Segment</v>
      </c>
      <c r="D50" s="119" t="str">
        <f>_xlfn.XLOOKUP(5,tbl_commentary[exec_rank],tbl_commentary[headline])</f>
        <v>SMB Exit ARR is $2.00M below its allocated share of the company Budget, the largest segment-level ARR gap against the allocated Budget proxy.</v>
      </c>
    </row>
    <row r="51" spans="2:6" ht="17.399999999999999" customHeight="1" x14ac:dyDescent="0.35">
      <c r="B51" s="34" t="str">
        <f>_xlfn.XLOOKUP(6,tbl_commentary[exec_rank],tbl_commentary[priority])</f>
        <v>Medium</v>
      </c>
      <c r="C51" s="22" t="str">
        <f>_xlfn.XLOOKUP(6,tbl_commentary[exec_rank],tbl_commentary[section])</f>
        <v>OpEx</v>
      </c>
      <c r="D51" s="119" t="str">
        <f>_xlfn.XLOOKUP(6,tbl_commentary[exec_rank],tbl_commentary[headline])</f>
        <v>FY2026 OpEx is $0.87M above Budget.</v>
      </c>
    </row>
    <row r="52" spans="2:6" ht="17.399999999999999" customHeight="1" x14ac:dyDescent="0.35">
      <c r="B52" s="34" t="str">
        <f>_xlfn.XLOOKUP(7,tbl_commentary[exec_rank],tbl_commentary[priority])</f>
        <v>Medium</v>
      </c>
      <c r="C52" s="22" t="str">
        <f>_xlfn.XLOOKUP(7,tbl_commentary[exec_rank],tbl_commentary[section])</f>
        <v>Revenue</v>
      </c>
      <c r="D52" s="119" t="str">
        <f>_xlfn.XLOOKUP(7,tbl_commentary[exec_rank],tbl_commentary[headline])</f>
        <v>FY2026 Revenue is $0.84M below Budget.</v>
      </c>
    </row>
    <row r="53" spans="2:6" ht="30.75" customHeight="1" x14ac:dyDescent="0.35">
      <c r="B53" s="34" t="str">
        <f>_xlfn.XLOOKUP(8,tbl_commentary[exec_rank],tbl_commentary[priority])</f>
        <v>Medium</v>
      </c>
      <c r="C53" s="22" t="str">
        <f>_xlfn.XLOOKUP(8,tbl_commentary[exec_rank],tbl_commentary[section])</f>
        <v>Profitability</v>
      </c>
      <c r="D53" s="119" t="str">
        <f>_xlfn.XLOOKUP(8,tbl_commentary[exec_rank],tbl_commentary[headline])</f>
        <v>FY2026 Gross Profit is $0.78M above Budget despite lower Revenue.</v>
      </c>
    </row>
    <row r="54" spans="2:6" ht="17.399999999999999" customHeight="1" x14ac:dyDescent="0.35">
      <c r="B54" s="34" t="str">
        <f>_xlfn.XLOOKUP(9,tbl_commentary[exec_rank],tbl_commentary[priority])</f>
        <v>Medium</v>
      </c>
      <c r="C54" s="22" t="str">
        <f>_xlfn.XLOOKUP(9,tbl_commentary[exec_rank],tbl_commentary[section])</f>
        <v>Headcount</v>
      </c>
      <c r="D54" s="119" t="str">
        <f>_xlfn.XLOOKUP(9,tbl_commentary[exec_rank],tbl_commentary[headline])</f>
        <v>Dec-2026 Ending Headcount is 3.7 FTE above Budget.</v>
      </c>
    </row>
    <row r="55" spans="2:6" ht="15" customHeight="1" x14ac:dyDescent="0.35"/>
    <row r="56" spans="2:6" ht="28.15" customHeight="1" x14ac:dyDescent="0.35">
      <c r="B56" s="298" t="s">
        <v>542</v>
      </c>
      <c r="C56" s="298"/>
      <c r="D56" s="298"/>
      <c r="E56" s="298"/>
      <c r="F56" s="298"/>
    </row>
    <row r="57" spans="2:6" ht="15" customHeight="1" x14ac:dyDescent="0.35"/>
    <row r="58" spans="2:6" ht="12" customHeight="1" x14ac:dyDescent="0.35">
      <c r="B58" s="39" t="s">
        <v>27</v>
      </c>
    </row>
    <row r="59" spans="2:6" ht="7" customHeight="1" x14ac:dyDescent="0.35"/>
  </sheetData>
  <mergeCells count="4">
    <mergeCell ref="B9:F9"/>
    <mergeCell ref="B56:F56"/>
    <mergeCell ref="B14:F14"/>
    <mergeCell ref="B28:F28"/>
  </mergeCells>
  <conditionalFormatting sqref="B46:B54">
    <cfRule type="cellIs" dxfId="8" priority="47" operator="equal">
      <formula>"Critical"</formula>
    </cfRule>
    <cfRule type="cellIs" dxfId="7" priority="48" operator="equal">
      <formula>"High"</formula>
    </cfRule>
    <cfRule type="cellIs" dxfId="6" priority="49" operator="equal">
      <formula>"Medium"</formula>
    </cfRule>
  </conditionalFormatting>
  <conditionalFormatting sqref="B8:F8 B9 B10:F10">
    <cfRule type="expression" dxfId="5" priority="50">
      <formula>$B$8="READY / PASS"</formula>
    </cfRule>
    <cfRule type="expression" dxfId="4" priority="51">
      <formula>$B$8="FAIL"</formula>
    </cfRule>
  </conditionalFormatting>
  <conditionalFormatting sqref="E31:E41">
    <cfRule type="cellIs" dxfId="3" priority="1" operator="equal">
      <formula>"PASS"</formula>
    </cfRule>
    <cfRule type="cellIs" dxfId="2" priority="2" operator="equal">
      <formula>"FAIL"</formula>
    </cfRule>
  </conditionalFormatting>
  <conditionalFormatting sqref="F17:F22">
    <cfRule type="cellIs" dxfId="1" priority="43" operator="equal">
      <formula>"PASS"</formula>
    </cfRule>
    <cfRule type="cellIs" dxfId="0" priority="44" operator="equal">
      <formula>"FAIL"</formula>
    </cfRule>
  </conditionalFormatting>
  <hyperlinks>
    <hyperlink ref="F1" location="'Model Guide'!A1" display="← Model Guide" xr:uid="{2DECF25A-39A4-41B5-A8DC-0BBA2BCBE435}"/>
  </hyperlinks>
  <pageMargins left="0.19444444444444445" right="0.19444444444444445" top="0.27777777777777779" bottom="0.27777777777777779" header="0.5" footer="0.5"/>
  <pageSetup fitToHeight="0" orientation="landscape"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S97"/>
  <sheetViews>
    <sheetView workbookViewId="0">
      <pane ySplit="1" topLeftCell="A2" activePane="bottomLeft" state="frozen"/>
      <selection pane="bottomLeft"/>
    </sheetView>
  </sheetViews>
  <sheetFormatPr defaultRowHeight="14.5" x14ac:dyDescent="0.35"/>
  <cols>
    <col min="1" max="1" width="18" customWidth="1"/>
    <col min="2" max="2" width="15" customWidth="1"/>
    <col min="3" max="3" width="12" customWidth="1"/>
    <col min="4" max="4" width="15" customWidth="1"/>
    <col min="5" max="5" width="17" customWidth="1"/>
    <col min="6" max="6" width="16" customWidth="1"/>
    <col min="7" max="7" width="17" customWidth="1"/>
    <col min="8" max="8" width="20" customWidth="1"/>
    <col min="9" max="9" width="19" customWidth="1"/>
    <col min="10" max="10" width="13" customWidth="1"/>
    <col min="11" max="11" width="15" customWidth="1"/>
    <col min="12" max="12" width="14" customWidth="1"/>
    <col min="15" max="15" width="12" customWidth="1"/>
    <col min="16" max="16" width="23" customWidth="1"/>
    <col min="17" max="17" width="21" customWidth="1"/>
    <col min="18" max="18" width="23" customWidth="1"/>
    <col min="19" max="19" width="25" customWidth="1"/>
  </cols>
  <sheetData>
    <row r="1" spans="1:19" x14ac:dyDescent="0.35">
      <c r="A1" s="15" t="s">
        <v>543</v>
      </c>
      <c r="B1" s="14" t="s">
        <v>544</v>
      </c>
      <c r="C1" s="14" t="s">
        <v>545</v>
      </c>
      <c r="D1" s="14" t="s">
        <v>546</v>
      </c>
      <c r="E1" s="14" t="s">
        <v>547</v>
      </c>
      <c r="F1" s="14" t="s">
        <v>548</v>
      </c>
      <c r="G1" s="14" t="s">
        <v>549</v>
      </c>
      <c r="H1" s="14" t="s">
        <v>550</v>
      </c>
      <c r="I1" s="14" t="s">
        <v>551</v>
      </c>
      <c r="J1" s="14" t="s">
        <v>552</v>
      </c>
      <c r="K1" s="14" t="s">
        <v>553</v>
      </c>
      <c r="L1" s="14" t="s">
        <v>554</v>
      </c>
      <c r="O1" s="14" t="s">
        <v>545</v>
      </c>
      <c r="P1" s="14" t="s">
        <v>555</v>
      </c>
      <c r="Q1" s="14" t="s">
        <v>556</v>
      </c>
      <c r="R1" s="14" t="s">
        <v>557</v>
      </c>
      <c r="S1" s="14" t="s">
        <v>558</v>
      </c>
    </row>
    <row r="2" spans="1:19" x14ac:dyDescent="0.35">
      <c r="A2" s="16">
        <v>45688</v>
      </c>
      <c r="B2" s="1" t="s">
        <v>40</v>
      </c>
      <c r="C2" s="1" t="s">
        <v>76</v>
      </c>
      <c r="D2" s="1" t="s">
        <v>41</v>
      </c>
      <c r="E2" s="5">
        <v>24495197.399999999</v>
      </c>
      <c r="F2" s="5">
        <v>763989.24</v>
      </c>
      <c r="G2" s="5">
        <v>208523.88</v>
      </c>
      <c r="H2" s="5">
        <v>5379</v>
      </c>
      <c r="I2" s="5">
        <v>-356906.4</v>
      </c>
      <c r="J2" s="5">
        <v>-433404.48</v>
      </c>
      <c r="K2" s="5">
        <v>187581.24</v>
      </c>
      <c r="L2" s="5">
        <v>24682778.640000001</v>
      </c>
      <c r="O2" s="1" t="s">
        <v>77</v>
      </c>
      <c r="P2" s="5">
        <v>4824788.88</v>
      </c>
      <c r="Q2" s="5">
        <v>4832879.3333277274</v>
      </c>
      <c r="R2" s="5">
        <v>8090.4533277275041</v>
      </c>
      <c r="S2" s="2">
        <v>0.138810360461225</v>
      </c>
    </row>
    <row r="3" spans="1:19" x14ac:dyDescent="0.35">
      <c r="A3" s="16">
        <v>45688</v>
      </c>
      <c r="B3" s="1" t="s">
        <v>40</v>
      </c>
      <c r="C3" s="1" t="s">
        <v>77</v>
      </c>
      <c r="D3" s="1" t="s">
        <v>41</v>
      </c>
      <c r="E3" s="5">
        <v>3953928.12</v>
      </c>
      <c r="F3" s="5">
        <v>118961.04</v>
      </c>
      <c r="G3" s="5">
        <v>27056.16</v>
      </c>
      <c r="H3" s="5">
        <v>5379</v>
      </c>
      <c r="I3" s="5">
        <v>-13481.88</v>
      </c>
      <c r="J3" s="5">
        <v>-119408.76</v>
      </c>
      <c r="K3" s="5">
        <v>18505.559999999979</v>
      </c>
      <c r="L3" s="5">
        <v>3972433.68</v>
      </c>
      <c r="O3" s="1" t="s">
        <v>78</v>
      </c>
      <c r="P3" s="5">
        <v>15499827.359999999</v>
      </c>
      <c r="Q3" s="5">
        <v>16971967.336255651</v>
      </c>
      <c r="R3" s="5">
        <v>1472139.976255652</v>
      </c>
      <c r="S3" s="2">
        <v>0.4874702514162742</v>
      </c>
    </row>
    <row r="4" spans="1:19" x14ac:dyDescent="0.35">
      <c r="A4" s="16">
        <v>45688</v>
      </c>
      <c r="B4" s="1" t="s">
        <v>40</v>
      </c>
      <c r="C4" s="1" t="s">
        <v>78</v>
      </c>
      <c r="D4" s="1" t="s">
        <v>41</v>
      </c>
      <c r="E4" s="5">
        <v>10460274.720000001</v>
      </c>
      <c r="F4" s="5">
        <v>161960.51999999999</v>
      </c>
      <c r="G4" s="5">
        <v>127629.48</v>
      </c>
      <c r="H4" s="5">
        <v>0</v>
      </c>
      <c r="I4" s="5">
        <v>-141799.32</v>
      </c>
      <c r="J4" s="5">
        <v>-313995.71999999997</v>
      </c>
      <c r="K4" s="5">
        <v>-166205.04</v>
      </c>
      <c r="L4" s="5">
        <v>10294069.68</v>
      </c>
      <c r="O4" s="1" t="s">
        <v>79</v>
      </c>
      <c r="P4" s="5">
        <v>12692104.08</v>
      </c>
      <c r="Q4" s="5">
        <v>13011569.89521428</v>
      </c>
      <c r="R4" s="5">
        <v>319465.81521427998</v>
      </c>
      <c r="S4" s="2">
        <v>0.37371938812250072</v>
      </c>
    </row>
    <row r="5" spans="1:19" x14ac:dyDescent="0.35">
      <c r="A5" s="16">
        <v>45688</v>
      </c>
      <c r="B5" s="1" t="s">
        <v>40</v>
      </c>
      <c r="C5" s="1" t="s">
        <v>79</v>
      </c>
      <c r="D5" s="1" t="s">
        <v>41</v>
      </c>
      <c r="E5" s="5">
        <v>10080994.560000001</v>
      </c>
      <c r="F5" s="5">
        <v>483067.68</v>
      </c>
      <c r="G5" s="5">
        <v>53838.239999999998</v>
      </c>
      <c r="H5" s="5">
        <v>0</v>
      </c>
      <c r="I5" s="5">
        <v>-201625.2</v>
      </c>
      <c r="J5" s="5">
        <v>0</v>
      </c>
      <c r="K5" s="5">
        <v>335280.71999999997</v>
      </c>
      <c r="L5" s="5">
        <v>10416275.279999999</v>
      </c>
      <c r="O5" s="1" t="s">
        <v>76</v>
      </c>
      <c r="P5" s="5">
        <v>33016720.32</v>
      </c>
      <c r="Q5" s="5">
        <v>34816416.564797662</v>
      </c>
      <c r="R5" s="5">
        <v>1799696.2447976619</v>
      </c>
      <c r="S5" s="2">
        <v>1</v>
      </c>
    </row>
    <row r="6" spans="1:19" x14ac:dyDescent="0.35">
      <c r="A6" s="16">
        <v>45716</v>
      </c>
      <c r="B6" s="1" t="s">
        <v>42</v>
      </c>
      <c r="C6" s="1" t="s">
        <v>76</v>
      </c>
      <c r="D6" s="1" t="s">
        <v>41</v>
      </c>
      <c r="E6" s="5">
        <v>24682778.640000001</v>
      </c>
      <c r="F6" s="5">
        <v>398202.84</v>
      </c>
      <c r="G6" s="5">
        <v>450903.12</v>
      </c>
      <c r="H6" s="5">
        <v>0</v>
      </c>
      <c r="I6" s="5">
        <v>-110046.24</v>
      </c>
      <c r="J6" s="5">
        <v>-189502.92</v>
      </c>
      <c r="K6" s="5">
        <v>549556.79999999993</v>
      </c>
      <c r="L6" s="5">
        <v>25232335.440000001</v>
      </c>
    </row>
    <row r="7" spans="1:19" x14ac:dyDescent="0.35">
      <c r="A7" s="16">
        <v>45716</v>
      </c>
      <c r="B7" s="1" t="s">
        <v>42</v>
      </c>
      <c r="C7" s="1" t="s">
        <v>77</v>
      </c>
      <c r="D7" s="1" t="s">
        <v>41</v>
      </c>
      <c r="E7" s="5">
        <v>3972433.68</v>
      </c>
      <c r="F7" s="5">
        <v>126363.72</v>
      </c>
      <c r="G7" s="5">
        <v>36440.28</v>
      </c>
      <c r="H7" s="5">
        <v>0</v>
      </c>
      <c r="I7" s="5">
        <v>-22508.16</v>
      </c>
      <c r="J7" s="5">
        <v>-76150.8</v>
      </c>
      <c r="K7" s="5">
        <v>64145.039999999994</v>
      </c>
      <c r="L7" s="5">
        <v>4036578.72</v>
      </c>
    </row>
    <row r="8" spans="1:19" x14ac:dyDescent="0.35">
      <c r="A8" s="16">
        <v>45716</v>
      </c>
      <c r="B8" s="1" t="s">
        <v>42</v>
      </c>
      <c r="C8" s="1" t="s">
        <v>78</v>
      </c>
      <c r="D8" s="1" t="s">
        <v>41</v>
      </c>
      <c r="E8" s="5">
        <v>10294069.68</v>
      </c>
      <c r="F8" s="5">
        <v>145388.88</v>
      </c>
      <c r="G8" s="5">
        <v>314839.32</v>
      </c>
      <c r="H8" s="5">
        <v>0</v>
      </c>
      <c r="I8" s="5">
        <v>-25332.48</v>
      </c>
      <c r="J8" s="5">
        <v>-113352.12</v>
      </c>
      <c r="K8" s="5">
        <v>321543.59999999998</v>
      </c>
      <c r="L8" s="5">
        <v>10615613.279999999</v>
      </c>
    </row>
    <row r="9" spans="1:19" x14ac:dyDescent="0.35">
      <c r="A9" s="16">
        <v>45716</v>
      </c>
      <c r="B9" s="1" t="s">
        <v>42</v>
      </c>
      <c r="C9" s="1" t="s">
        <v>79</v>
      </c>
      <c r="D9" s="1" t="s">
        <v>41</v>
      </c>
      <c r="E9" s="5">
        <v>10416275.279999999</v>
      </c>
      <c r="F9" s="5">
        <v>126450.24000000001</v>
      </c>
      <c r="G9" s="5">
        <v>99623.52</v>
      </c>
      <c r="H9" s="5">
        <v>0</v>
      </c>
      <c r="I9" s="5">
        <v>-62205.599999999999</v>
      </c>
      <c r="J9" s="5">
        <v>0</v>
      </c>
      <c r="K9" s="5">
        <v>163868.16</v>
      </c>
      <c r="L9" s="5">
        <v>10580143.439999999</v>
      </c>
    </row>
    <row r="10" spans="1:19" x14ac:dyDescent="0.35">
      <c r="A10" s="16">
        <v>45747</v>
      </c>
      <c r="B10" s="1" t="s">
        <v>43</v>
      </c>
      <c r="C10" s="1" t="s">
        <v>76</v>
      </c>
      <c r="D10" s="1" t="s">
        <v>41</v>
      </c>
      <c r="E10" s="5">
        <v>25232335.440000001</v>
      </c>
      <c r="F10" s="5">
        <v>482289.00000000012</v>
      </c>
      <c r="G10" s="5">
        <v>339030.96</v>
      </c>
      <c r="H10" s="5">
        <v>7012.2</v>
      </c>
      <c r="I10" s="5">
        <v>-120597.12</v>
      </c>
      <c r="J10" s="5">
        <v>-125741.04</v>
      </c>
      <c r="K10" s="5">
        <v>581994</v>
      </c>
      <c r="L10" s="5">
        <v>25814329.440000001</v>
      </c>
    </row>
    <row r="11" spans="1:19" x14ac:dyDescent="0.35">
      <c r="A11" s="16">
        <v>45747</v>
      </c>
      <c r="B11" s="1" t="s">
        <v>43</v>
      </c>
      <c r="C11" s="1" t="s">
        <v>77</v>
      </c>
      <c r="D11" s="1" t="s">
        <v>41</v>
      </c>
      <c r="E11" s="5">
        <v>4036578.72</v>
      </c>
      <c r="F11" s="5">
        <v>167228.76</v>
      </c>
      <c r="G11" s="5">
        <v>36595.800000000003</v>
      </c>
      <c r="H11" s="5">
        <v>7012.2</v>
      </c>
      <c r="I11" s="5">
        <v>-11071.68</v>
      </c>
      <c r="J11" s="5">
        <v>-90019.92</v>
      </c>
      <c r="K11" s="5">
        <v>109745.16</v>
      </c>
      <c r="L11" s="5">
        <v>4146323.88</v>
      </c>
    </row>
    <row r="12" spans="1:19" x14ac:dyDescent="0.35">
      <c r="A12" s="16">
        <v>45747</v>
      </c>
      <c r="B12" s="1" t="s">
        <v>43</v>
      </c>
      <c r="C12" s="1" t="s">
        <v>78</v>
      </c>
      <c r="D12" s="1" t="s">
        <v>41</v>
      </c>
      <c r="E12" s="5">
        <v>10615613.279999999</v>
      </c>
      <c r="F12" s="5">
        <v>254963.04</v>
      </c>
      <c r="G12" s="5">
        <v>282137.40000000002</v>
      </c>
      <c r="H12" s="5">
        <v>0</v>
      </c>
      <c r="I12" s="5">
        <v>-97994.64</v>
      </c>
      <c r="J12" s="5">
        <v>-35721.120000000003</v>
      </c>
      <c r="K12" s="5">
        <v>403384.68000000011</v>
      </c>
      <c r="L12" s="5">
        <v>11018997.960000001</v>
      </c>
    </row>
    <row r="13" spans="1:19" x14ac:dyDescent="0.35">
      <c r="A13" s="16">
        <v>45747</v>
      </c>
      <c r="B13" s="1" t="s">
        <v>43</v>
      </c>
      <c r="C13" s="1" t="s">
        <v>79</v>
      </c>
      <c r="D13" s="1" t="s">
        <v>41</v>
      </c>
      <c r="E13" s="5">
        <v>10580143.439999999</v>
      </c>
      <c r="F13" s="5">
        <v>60097.2</v>
      </c>
      <c r="G13" s="5">
        <v>20297.759999999998</v>
      </c>
      <c r="H13" s="5">
        <v>0</v>
      </c>
      <c r="I13" s="5">
        <v>-11530.8</v>
      </c>
      <c r="J13" s="5">
        <v>0</v>
      </c>
      <c r="K13" s="5">
        <v>68864.159999999989</v>
      </c>
      <c r="L13" s="5">
        <v>10649007.6</v>
      </c>
    </row>
    <row r="14" spans="1:19" x14ac:dyDescent="0.35">
      <c r="A14" s="16">
        <v>45777</v>
      </c>
      <c r="B14" s="1" t="s">
        <v>44</v>
      </c>
      <c r="C14" s="1" t="s">
        <v>76</v>
      </c>
      <c r="D14" s="1" t="s">
        <v>41</v>
      </c>
      <c r="E14" s="5">
        <v>25814329.440000001</v>
      </c>
      <c r="F14" s="5">
        <v>289522.08</v>
      </c>
      <c r="G14" s="5">
        <v>568274.88</v>
      </c>
      <c r="H14" s="5">
        <v>41077.32</v>
      </c>
      <c r="I14" s="5">
        <v>-140806.79999999999</v>
      </c>
      <c r="J14" s="5">
        <v>-142746.84</v>
      </c>
      <c r="K14" s="5">
        <v>615320.64</v>
      </c>
      <c r="L14" s="5">
        <v>26429650.079999998</v>
      </c>
    </row>
    <row r="15" spans="1:19" x14ac:dyDescent="0.35">
      <c r="A15" s="16">
        <v>45777</v>
      </c>
      <c r="B15" s="1" t="s">
        <v>44</v>
      </c>
      <c r="C15" s="1" t="s">
        <v>77</v>
      </c>
      <c r="D15" s="1" t="s">
        <v>41</v>
      </c>
      <c r="E15" s="5">
        <v>4146323.88</v>
      </c>
      <c r="F15" s="5">
        <v>105016.68</v>
      </c>
      <c r="G15" s="5">
        <v>59536.68</v>
      </c>
      <c r="H15" s="5">
        <v>0</v>
      </c>
      <c r="I15" s="5">
        <v>-4347</v>
      </c>
      <c r="J15" s="5">
        <v>-128617.92</v>
      </c>
      <c r="K15" s="5">
        <v>31588.439999999991</v>
      </c>
      <c r="L15" s="5">
        <v>4177912.32</v>
      </c>
    </row>
    <row r="16" spans="1:19" x14ac:dyDescent="0.35">
      <c r="A16" s="16">
        <v>45777</v>
      </c>
      <c r="B16" s="1" t="s">
        <v>44</v>
      </c>
      <c r="C16" s="1" t="s">
        <v>78</v>
      </c>
      <c r="D16" s="1" t="s">
        <v>41</v>
      </c>
      <c r="E16" s="5">
        <v>11018997.960000001</v>
      </c>
      <c r="F16" s="5">
        <v>184505.4</v>
      </c>
      <c r="G16" s="5">
        <v>250283.16</v>
      </c>
      <c r="H16" s="5">
        <v>41077.32</v>
      </c>
      <c r="I16" s="5">
        <v>-74870.399999999994</v>
      </c>
      <c r="J16" s="5">
        <v>-14128.92</v>
      </c>
      <c r="K16" s="5">
        <v>386866.56</v>
      </c>
      <c r="L16" s="5">
        <v>11405864.52</v>
      </c>
    </row>
    <row r="17" spans="1:12" x14ac:dyDescent="0.35">
      <c r="A17" s="16">
        <v>45777</v>
      </c>
      <c r="B17" s="1" t="s">
        <v>44</v>
      </c>
      <c r="C17" s="1" t="s">
        <v>79</v>
      </c>
      <c r="D17" s="1" t="s">
        <v>41</v>
      </c>
      <c r="E17" s="5">
        <v>10649007.6</v>
      </c>
      <c r="F17" s="5">
        <v>0</v>
      </c>
      <c r="G17" s="5">
        <v>258455.04000000001</v>
      </c>
      <c r="H17" s="5">
        <v>0</v>
      </c>
      <c r="I17" s="5">
        <v>-61589.4</v>
      </c>
      <c r="J17" s="5">
        <v>0</v>
      </c>
      <c r="K17" s="5">
        <v>196865.64</v>
      </c>
      <c r="L17" s="5">
        <v>10845873.24</v>
      </c>
    </row>
    <row r="18" spans="1:12" x14ac:dyDescent="0.35">
      <c r="A18" s="16">
        <v>45808</v>
      </c>
      <c r="B18" s="1" t="s">
        <v>45</v>
      </c>
      <c r="C18" s="1" t="s">
        <v>76</v>
      </c>
      <c r="D18" s="1" t="s">
        <v>41</v>
      </c>
      <c r="E18" s="5">
        <v>26429650.079999998</v>
      </c>
      <c r="F18" s="5">
        <v>266066.15999999997</v>
      </c>
      <c r="G18" s="5">
        <v>214662.36</v>
      </c>
      <c r="H18" s="5">
        <v>12462.48</v>
      </c>
      <c r="I18" s="5">
        <v>-91199.88</v>
      </c>
      <c r="J18" s="5">
        <v>-240511.2</v>
      </c>
      <c r="K18" s="5">
        <v>161479.92000000001</v>
      </c>
      <c r="L18" s="5">
        <v>26591130</v>
      </c>
    </row>
    <row r="19" spans="1:12" x14ac:dyDescent="0.35">
      <c r="A19" s="16">
        <v>45808</v>
      </c>
      <c r="B19" s="1" t="s">
        <v>45</v>
      </c>
      <c r="C19" s="1" t="s">
        <v>77</v>
      </c>
      <c r="D19" s="1" t="s">
        <v>41</v>
      </c>
      <c r="E19" s="5">
        <v>4177912.32</v>
      </c>
      <c r="F19" s="5">
        <v>111001.44</v>
      </c>
      <c r="G19" s="5">
        <v>22565.4</v>
      </c>
      <c r="H19" s="5">
        <v>12462.48</v>
      </c>
      <c r="I19" s="5">
        <v>-11069.88</v>
      </c>
      <c r="J19" s="5">
        <v>-149700.48000000001</v>
      </c>
      <c r="K19" s="5">
        <v>-14741.04000000001</v>
      </c>
      <c r="L19" s="5">
        <v>4163171.28</v>
      </c>
    </row>
    <row r="20" spans="1:12" x14ac:dyDescent="0.35">
      <c r="A20" s="16">
        <v>45808</v>
      </c>
      <c r="B20" s="1" t="s">
        <v>45</v>
      </c>
      <c r="C20" s="1" t="s">
        <v>78</v>
      </c>
      <c r="D20" s="1" t="s">
        <v>41</v>
      </c>
      <c r="E20" s="5">
        <v>11405864.52</v>
      </c>
      <c r="F20" s="5">
        <v>155064.72</v>
      </c>
      <c r="G20" s="5">
        <v>169027.56</v>
      </c>
      <c r="H20" s="5">
        <v>0</v>
      </c>
      <c r="I20" s="5">
        <v>-80130</v>
      </c>
      <c r="J20" s="5">
        <v>-90810.72</v>
      </c>
      <c r="K20" s="5">
        <v>153151.56</v>
      </c>
      <c r="L20" s="5">
        <v>11559016.08</v>
      </c>
    </row>
    <row r="21" spans="1:12" x14ac:dyDescent="0.35">
      <c r="A21" s="16">
        <v>45808</v>
      </c>
      <c r="B21" s="1" t="s">
        <v>45</v>
      </c>
      <c r="C21" s="1" t="s">
        <v>79</v>
      </c>
      <c r="D21" s="1" t="s">
        <v>41</v>
      </c>
      <c r="E21" s="5">
        <v>10845873.24</v>
      </c>
      <c r="F21" s="5">
        <v>0</v>
      </c>
      <c r="G21" s="5">
        <v>23069.4</v>
      </c>
      <c r="H21" s="5">
        <v>0</v>
      </c>
      <c r="I21" s="5">
        <v>0</v>
      </c>
      <c r="J21" s="5">
        <v>0</v>
      </c>
      <c r="K21" s="5">
        <v>23069.4</v>
      </c>
      <c r="L21" s="5">
        <v>10868942.640000001</v>
      </c>
    </row>
    <row r="22" spans="1:12" x14ac:dyDescent="0.35">
      <c r="A22" s="16">
        <v>45838</v>
      </c>
      <c r="B22" s="1" t="s">
        <v>46</v>
      </c>
      <c r="C22" s="1" t="s">
        <v>76</v>
      </c>
      <c r="D22" s="1" t="s">
        <v>41</v>
      </c>
      <c r="E22" s="5">
        <v>26591130</v>
      </c>
      <c r="F22" s="5">
        <v>408324</v>
      </c>
      <c r="G22" s="5">
        <v>332059.56000000011</v>
      </c>
      <c r="H22" s="5">
        <v>0</v>
      </c>
      <c r="I22" s="5">
        <v>-45796.2</v>
      </c>
      <c r="J22" s="5">
        <v>-147946.44</v>
      </c>
      <c r="K22" s="5">
        <v>546640.92000000016</v>
      </c>
      <c r="L22" s="5">
        <v>27137770.920000002</v>
      </c>
    </row>
    <row r="23" spans="1:12" x14ac:dyDescent="0.35">
      <c r="A23" s="16">
        <v>45838</v>
      </c>
      <c r="B23" s="1" t="s">
        <v>46</v>
      </c>
      <c r="C23" s="1" t="s">
        <v>77</v>
      </c>
      <c r="D23" s="1" t="s">
        <v>41</v>
      </c>
      <c r="E23" s="5">
        <v>4163171.28</v>
      </c>
      <c r="F23" s="5">
        <v>193993.68</v>
      </c>
      <c r="G23" s="5">
        <v>46049.16</v>
      </c>
      <c r="H23" s="5">
        <v>0</v>
      </c>
      <c r="I23" s="5">
        <v>-20162.88</v>
      </c>
      <c r="J23" s="5">
        <v>-89028.72</v>
      </c>
      <c r="K23" s="5">
        <v>130851.24</v>
      </c>
      <c r="L23" s="5">
        <v>4294022.5199999996</v>
      </c>
    </row>
    <row r="24" spans="1:12" x14ac:dyDescent="0.35">
      <c r="A24" s="16">
        <v>45838</v>
      </c>
      <c r="B24" s="1" t="s">
        <v>46</v>
      </c>
      <c r="C24" s="1" t="s">
        <v>78</v>
      </c>
      <c r="D24" s="1" t="s">
        <v>41</v>
      </c>
      <c r="E24" s="5">
        <v>11559016.08</v>
      </c>
      <c r="F24" s="5">
        <v>137055.35999999999</v>
      </c>
      <c r="G24" s="5">
        <v>286010.40000000002</v>
      </c>
      <c r="H24" s="5">
        <v>0</v>
      </c>
      <c r="I24" s="5">
        <v>-16331.64</v>
      </c>
      <c r="J24" s="5">
        <v>-58917.72</v>
      </c>
      <c r="K24" s="5">
        <v>347816.4</v>
      </c>
      <c r="L24" s="5">
        <v>11906832.48</v>
      </c>
    </row>
    <row r="25" spans="1:12" x14ac:dyDescent="0.35">
      <c r="A25" s="16">
        <v>45838</v>
      </c>
      <c r="B25" s="1" t="s">
        <v>46</v>
      </c>
      <c r="C25" s="1" t="s">
        <v>79</v>
      </c>
      <c r="D25" s="1" t="s">
        <v>41</v>
      </c>
      <c r="E25" s="5">
        <v>10868942.640000001</v>
      </c>
      <c r="F25" s="5">
        <v>77274.960000000006</v>
      </c>
      <c r="G25" s="5">
        <v>0</v>
      </c>
      <c r="H25" s="5">
        <v>0</v>
      </c>
      <c r="I25" s="5">
        <v>-9301.68</v>
      </c>
      <c r="J25" s="5">
        <v>0</v>
      </c>
      <c r="K25" s="5">
        <v>67973.279999999999</v>
      </c>
      <c r="L25" s="5">
        <v>10936915.92</v>
      </c>
    </row>
    <row r="26" spans="1:12" x14ac:dyDescent="0.35">
      <c r="A26" s="16">
        <v>45869</v>
      </c>
      <c r="B26" s="1" t="s">
        <v>47</v>
      </c>
      <c r="C26" s="1" t="s">
        <v>76</v>
      </c>
      <c r="D26" s="1" t="s">
        <v>41</v>
      </c>
      <c r="E26" s="5">
        <v>27137770.920000002</v>
      </c>
      <c r="F26" s="5">
        <v>148504.68</v>
      </c>
      <c r="G26" s="5">
        <v>364045.92</v>
      </c>
      <c r="H26" s="5">
        <v>2735.28</v>
      </c>
      <c r="I26" s="5">
        <v>-97174.92</v>
      </c>
      <c r="J26" s="5">
        <v>-88185</v>
      </c>
      <c r="K26" s="5">
        <v>329925.96000000002</v>
      </c>
      <c r="L26" s="5">
        <v>27467696.879999999</v>
      </c>
    </row>
    <row r="27" spans="1:12" x14ac:dyDescent="0.35">
      <c r="A27" s="16">
        <v>45869</v>
      </c>
      <c r="B27" s="1" t="s">
        <v>47</v>
      </c>
      <c r="C27" s="1" t="s">
        <v>77</v>
      </c>
      <c r="D27" s="1" t="s">
        <v>41</v>
      </c>
      <c r="E27" s="5">
        <v>4294022.5199999996</v>
      </c>
      <c r="F27" s="5">
        <v>63689.64</v>
      </c>
      <c r="G27" s="5">
        <v>48588.959999999999</v>
      </c>
      <c r="H27" s="5">
        <v>2735.28</v>
      </c>
      <c r="I27" s="5">
        <v>-19276.2</v>
      </c>
      <c r="J27" s="5">
        <v>-59258.16</v>
      </c>
      <c r="K27" s="5">
        <v>36479.519999999997</v>
      </c>
      <c r="L27" s="5">
        <v>4330502.04</v>
      </c>
    </row>
    <row r="28" spans="1:12" x14ac:dyDescent="0.35">
      <c r="A28" s="16">
        <v>45869</v>
      </c>
      <c r="B28" s="1" t="s">
        <v>47</v>
      </c>
      <c r="C28" s="1" t="s">
        <v>78</v>
      </c>
      <c r="D28" s="1" t="s">
        <v>41</v>
      </c>
      <c r="E28" s="5">
        <v>11906832.48</v>
      </c>
      <c r="F28" s="5">
        <v>84815.039999999994</v>
      </c>
      <c r="G28" s="5">
        <v>296148.12</v>
      </c>
      <c r="H28" s="5">
        <v>0</v>
      </c>
      <c r="I28" s="5">
        <v>-77898.720000000001</v>
      </c>
      <c r="J28" s="5">
        <v>-28926.84</v>
      </c>
      <c r="K28" s="5">
        <v>274137.59999999992</v>
      </c>
      <c r="L28" s="5">
        <v>12180970.08</v>
      </c>
    </row>
    <row r="29" spans="1:12" x14ac:dyDescent="0.35">
      <c r="A29" s="16">
        <v>45869</v>
      </c>
      <c r="B29" s="1" t="s">
        <v>47</v>
      </c>
      <c r="C29" s="1" t="s">
        <v>79</v>
      </c>
      <c r="D29" s="1" t="s">
        <v>41</v>
      </c>
      <c r="E29" s="5">
        <v>10936915.92</v>
      </c>
      <c r="F29" s="5">
        <v>0</v>
      </c>
      <c r="G29" s="5">
        <v>19308.84</v>
      </c>
      <c r="H29" s="5">
        <v>0</v>
      </c>
      <c r="I29" s="5">
        <v>0</v>
      </c>
      <c r="J29" s="5">
        <v>0</v>
      </c>
      <c r="K29" s="5">
        <v>19308.84</v>
      </c>
      <c r="L29" s="5">
        <v>10956224.76</v>
      </c>
    </row>
    <row r="30" spans="1:12" x14ac:dyDescent="0.35">
      <c r="A30" s="16">
        <v>45900</v>
      </c>
      <c r="B30" s="1" t="s">
        <v>48</v>
      </c>
      <c r="C30" s="1" t="s">
        <v>76</v>
      </c>
      <c r="D30" s="1" t="s">
        <v>41</v>
      </c>
      <c r="E30" s="5">
        <v>27467696.879999999</v>
      </c>
      <c r="F30" s="5">
        <v>254568</v>
      </c>
      <c r="G30" s="5">
        <v>339460.67999999988</v>
      </c>
      <c r="H30" s="5">
        <v>2107.44</v>
      </c>
      <c r="I30" s="5">
        <v>-73086.12</v>
      </c>
      <c r="J30" s="5">
        <v>-197466.12</v>
      </c>
      <c r="K30" s="5">
        <v>325583.87999999989</v>
      </c>
      <c r="L30" s="5">
        <v>27793280.760000002</v>
      </c>
    </row>
    <row r="31" spans="1:12" x14ac:dyDescent="0.35">
      <c r="A31" s="16">
        <v>45900</v>
      </c>
      <c r="B31" s="1" t="s">
        <v>48</v>
      </c>
      <c r="C31" s="1" t="s">
        <v>77</v>
      </c>
      <c r="D31" s="1" t="s">
        <v>41</v>
      </c>
      <c r="E31" s="5">
        <v>4330502.04</v>
      </c>
      <c r="F31" s="5">
        <v>101424.12</v>
      </c>
      <c r="G31" s="5">
        <v>55007.28</v>
      </c>
      <c r="H31" s="5">
        <v>2107.44</v>
      </c>
      <c r="I31" s="5">
        <v>-19917.72</v>
      </c>
      <c r="J31" s="5">
        <v>-98999.76</v>
      </c>
      <c r="K31" s="5">
        <v>39621.360000000001</v>
      </c>
      <c r="L31" s="5">
        <v>4370123.4000000004</v>
      </c>
    </row>
    <row r="32" spans="1:12" x14ac:dyDescent="0.35">
      <c r="A32" s="16">
        <v>45900</v>
      </c>
      <c r="B32" s="1" t="s">
        <v>48</v>
      </c>
      <c r="C32" s="1" t="s">
        <v>78</v>
      </c>
      <c r="D32" s="1" t="s">
        <v>41</v>
      </c>
      <c r="E32" s="5">
        <v>12180970.08</v>
      </c>
      <c r="F32" s="5">
        <v>153143.88</v>
      </c>
      <c r="G32" s="5">
        <v>223555.68</v>
      </c>
      <c r="H32" s="5">
        <v>0</v>
      </c>
      <c r="I32" s="5">
        <v>-53168.4</v>
      </c>
      <c r="J32" s="5">
        <v>-98466.36</v>
      </c>
      <c r="K32" s="5">
        <v>225064.8</v>
      </c>
      <c r="L32" s="5">
        <v>12406034.880000001</v>
      </c>
    </row>
    <row r="33" spans="1:12" x14ac:dyDescent="0.35">
      <c r="A33" s="16">
        <v>45900</v>
      </c>
      <c r="B33" s="1" t="s">
        <v>48</v>
      </c>
      <c r="C33" s="1" t="s">
        <v>79</v>
      </c>
      <c r="D33" s="1" t="s">
        <v>41</v>
      </c>
      <c r="E33" s="5">
        <v>10956224.76</v>
      </c>
      <c r="F33" s="5">
        <v>0</v>
      </c>
      <c r="G33" s="5">
        <v>60897.72</v>
      </c>
      <c r="H33" s="5">
        <v>0</v>
      </c>
      <c r="I33" s="5">
        <v>0</v>
      </c>
      <c r="J33" s="5">
        <v>0</v>
      </c>
      <c r="K33" s="5">
        <v>60897.72</v>
      </c>
      <c r="L33" s="5">
        <v>11017122.48</v>
      </c>
    </row>
    <row r="34" spans="1:12" x14ac:dyDescent="0.35">
      <c r="A34" s="16">
        <v>45930</v>
      </c>
      <c r="B34" s="1" t="s">
        <v>49</v>
      </c>
      <c r="C34" s="1" t="s">
        <v>76</v>
      </c>
      <c r="D34" s="1" t="s">
        <v>41</v>
      </c>
      <c r="E34" s="5">
        <v>27793280.760000002</v>
      </c>
      <c r="F34" s="5">
        <v>265998.84000000003</v>
      </c>
      <c r="G34" s="5">
        <v>295512.48</v>
      </c>
      <c r="H34" s="5">
        <v>0</v>
      </c>
      <c r="I34" s="5">
        <v>-46792.800000000003</v>
      </c>
      <c r="J34" s="5">
        <v>-189627.96</v>
      </c>
      <c r="K34" s="5">
        <v>325090.56000000011</v>
      </c>
      <c r="L34" s="5">
        <v>28118371.32</v>
      </c>
    </row>
    <row r="35" spans="1:12" x14ac:dyDescent="0.35">
      <c r="A35" s="16">
        <v>45930</v>
      </c>
      <c r="B35" s="1" t="s">
        <v>49</v>
      </c>
      <c r="C35" s="1" t="s">
        <v>77</v>
      </c>
      <c r="D35" s="1" t="s">
        <v>41</v>
      </c>
      <c r="E35" s="5">
        <v>4370123.4000000004</v>
      </c>
      <c r="F35" s="5">
        <v>84287.88</v>
      </c>
      <c r="G35" s="5">
        <v>53046</v>
      </c>
      <c r="H35" s="5">
        <v>0</v>
      </c>
      <c r="I35" s="5">
        <v>-7236.72</v>
      </c>
      <c r="J35" s="5">
        <v>-72205.919999999998</v>
      </c>
      <c r="K35" s="5">
        <v>57891.240000000013</v>
      </c>
      <c r="L35" s="5">
        <v>4428014.6399999997</v>
      </c>
    </row>
    <row r="36" spans="1:12" x14ac:dyDescent="0.35">
      <c r="A36" s="16">
        <v>45930</v>
      </c>
      <c r="B36" s="1" t="s">
        <v>49</v>
      </c>
      <c r="C36" s="1" t="s">
        <v>78</v>
      </c>
      <c r="D36" s="1" t="s">
        <v>41</v>
      </c>
      <c r="E36" s="5">
        <v>12406034.880000001</v>
      </c>
      <c r="F36" s="5">
        <v>181710.96</v>
      </c>
      <c r="G36" s="5">
        <v>213740.52</v>
      </c>
      <c r="H36" s="5">
        <v>0</v>
      </c>
      <c r="I36" s="5">
        <v>-39556.080000000002</v>
      </c>
      <c r="J36" s="5">
        <v>-117422.04</v>
      </c>
      <c r="K36" s="5">
        <v>238473.36</v>
      </c>
      <c r="L36" s="5">
        <v>12644508.24</v>
      </c>
    </row>
    <row r="37" spans="1:12" x14ac:dyDescent="0.35">
      <c r="A37" s="16">
        <v>45930</v>
      </c>
      <c r="B37" s="1" t="s">
        <v>49</v>
      </c>
      <c r="C37" s="1" t="s">
        <v>79</v>
      </c>
      <c r="D37" s="1" t="s">
        <v>41</v>
      </c>
      <c r="E37" s="5">
        <v>11017122.48</v>
      </c>
      <c r="F37" s="5">
        <v>0</v>
      </c>
      <c r="G37" s="5">
        <v>28725.96</v>
      </c>
      <c r="H37" s="5">
        <v>0</v>
      </c>
      <c r="I37" s="5">
        <v>0</v>
      </c>
      <c r="J37" s="5">
        <v>0</v>
      </c>
      <c r="K37" s="5">
        <v>28725.96</v>
      </c>
      <c r="L37" s="5">
        <v>11045848.439999999</v>
      </c>
    </row>
    <row r="38" spans="1:12" x14ac:dyDescent="0.35">
      <c r="A38" s="16">
        <v>45961</v>
      </c>
      <c r="B38" s="1" t="s">
        <v>50</v>
      </c>
      <c r="C38" s="1" t="s">
        <v>76</v>
      </c>
      <c r="D38" s="1" t="s">
        <v>41</v>
      </c>
      <c r="E38" s="5">
        <v>28118371.32</v>
      </c>
      <c r="F38" s="5">
        <v>427038.12</v>
      </c>
      <c r="G38" s="5">
        <v>493697.64</v>
      </c>
      <c r="H38" s="5">
        <v>0</v>
      </c>
      <c r="I38" s="5">
        <v>-124445.04</v>
      </c>
      <c r="J38" s="5">
        <v>-162396</v>
      </c>
      <c r="K38" s="5">
        <v>633894.72</v>
      </c>
      <c r="L38" s="5">
        <v>28752266.039999999</v>
      </c>
    </row>
    <row r="39" spans="1:12" x14ac:dyDescent="0.35">
      <c r="A39" s="16">
        <v>45961</v>
      </c>
      <c r="B39" s="1" t="s">
        <v>50</v>
      </c>
      <c r="C39" s="1" t="s">
        <v>77</v>
      </c>
      <c r="D39" s="1" t="s">
        <v>41</v>
      </c>
      <c r="E39" s="5">
        <v>4428014.6399999997</v>
      </c>
      <c r="F39" s="5">
        <v>127234.92</v>
      </c>
      <c r="G39" s="5">
        <v>47070.84</v>
      </c>
      <c r="H39" s="5">
        <v>0</v>
      </c>
      <c r="I39" s="5">
        <v>-1302.24</v>
      </c>
      <c r="J39" s="5">
        <v>-70241.759999999995</v>
      </c>
      <c r="K39" s="5">
        <v>102761.76</v>
      </c>
      <c r="L39" s="5">
        <v>4530776.4000000004</v>
      </c>
    </row>
    <row r="40" spans="1:12" x14ac:dyDescent="0.35">
      <c r="A40" s="16">
        <v>45961</v>
      </c>
      <c r="B40" s="1" t="s">
        <v>50</v>
      </c>
      <c r="C40" s="1" t="s">
        <v>78</v>
      </c>
      <c r="D40" s="1" t="s">
        <v>41</v>
      </c>
      <c r="E40" s="5">
        <v>12644508.24</v>
      </c>
      <c r="F40" s="5">
        <v>234131.64</v>
      </c>
      <c r="G40" s="5">
        <v>410378.76</v>
      </c>
      <c r="H40" s="5">
        <v>0</v>
      </c>
      <c r="I40" s="5">
        <v>-83631.600000000006</v>
      </c>
      <c r="J40" s="5">
        <v>-92154.240000000005</v>
      </c>
      <c r="K40" s="5">
        <v>468724.56000000011</v>
      </c>
      <c r="L40" s="5">
        <v>13113232.800000001</v>
      </c>
    </row>
    <row r="41" spans="1:12" x14ac:dyDescent="0.35">
      <c r="A41" s="16">
        <v>45961</v>
      </c>
      <c r="B41" s="1" t="s">
        <v>50</v>
      </c>
      <c r="C41" s="1" t="s">
        <v>79</v>
      </c>
      <c r="D41" s="1" t="s">
        <v>41</v>
      </c>
      <c r="E41" s="5">
        <v>11045848.439999999</v>
      </c>
      <c r="F41" s="5">
        <v>65671.56</v>
      </c>
      <c r="G41" s="5">
        <v>36248.04</v>
      </c>
      <c r="H41" s="5">
        <v>0</v>
      </c>
      <c r="I41" s="5">
        <v>-39511.199999999997</v>
      </c>
      <c r="J41" s="5">
        <v>0</v>
      </c>
      <c r="K41" s="5">
        <v>62408.400000000009</v>
      </c>
      <c r="L41" s="5">
        <v>11108256.84</v>
      </c>
    </row>
    <row r="42" spans="1:12" x14ac:dyDescent="0.35">
      <c r="A42" s="16">
        <v>45991</v>
      </c>
      <c r="B42" s="1" t="s">
        <v>51</v>
      </c>
      <c r="C42" s="1" t="s">
        <v>76</v>
      </c>
      <c r="D42" s="1" t="s">
        <v>41</v>
      </c>
      <c r="E42" s="5">
        <v>28752266.039999999</v>
      </c>
      <c r="F42" s="5">
        <v>771199.2</v>
      </c>
      <c r="G42" s="5">
        <v>366765</v>
      </c>
      <c r="H42" s="5">
        <v>0</v>
      </c>
      <c r="I42" s="5">
        <v>-173070.72</v>
      </c>
      <c r="J42" s="5">
        <v>-328723.8</v>
      </c>
      <c r="K42" s="5">
        <v>636169.67999999993</v>
      </c>
      <c r="L42" s="5">
        <v>29388435.719999999</v>
      </c>
    </row>
    <row r="43" spans="1:12" x14ac:dyDescent="0.35">
      <c r="A43" s="16">
        <v>45991</v>
      </c>
      <c r="B43" s="1" t="s">
        <v>51</v>
      </c>
      <c r="C43" s="1" t="s">
        <v>77</v>
      </c>
      <c r="D43" s="1" t="s">
        <v>41</v>
      </c>
      <c r="E43" s="5">
        <v>4530776.4000000004</v>
      </c>
      <c r="F43" s="5">
        <v>123851.88</v>
      </c>
      <c r="G43" s="5">
        <v>51844.56</v>
      </c>
      <c r="H43" s="5">
        <v>0</v>
      </c>
      <c r="I43" s="5">
        <v>-29296.560000000001</v>
      </c>
      <c r="J43" s="5">
        <v>-47321.88</v>
      </c>
      <c r="K43" s="5">
        <v>99078</v>
      </c>
      <c r="L43" s="5">
        <v>4629854.4000000004</v>
      </c>
    </row>
    <row r="44" spans="1:12" x14ac:dyDescent="0.35">
      <c r="A44" s="16">
        <v>45991</v>
      </c>
      <c r="B44" s="1" t="s">
        <v>51</v>
      </c>
      <c r="C44" s="1" t="s">
        <v>78</v>
      </c>
      <c r="D44" s="1" t="s">
        <v>41</v>
      </c>
      <c r="E44" s="5">
        <v>13113232.800000001</v>
      </c>
      <c r="F44" s="5">
        <v>209784.84</v>
      </c>
      <c r="G44" s="5">
        <v>203994.12</v>
      </c>
      <c r="H44" s="5">
        <v>0</v>
      </c>
      <c r="I44" s="5">
        <v>-143774.16</v>
      </c>
      <c r="J44" s="5">
        <v>-28781.279999999999</v>
      </c>
      <c r="K44" s="5">
        <v>241223.5199999999</v>
      </c>
      <c r="L44" s="5">
        <v>13354456.32</v>
      </c>
    </row>
    <row r="45" spans="1:12" x14ac:dyDescent="0.35">
      <c r="A45" s="16">
        <v>45991</v>
      </c>
      <c r="B45" s="1" t="s">
        <v>51</v>
      </c>
      <c r="C45" s="1" t="s">
        <v>79</v>
      </c>
      <c r="D45" s="1" t="s">
        <v>41</v>
      </c>
      <c r="E45" s="5">
        <v>11108256.84</v>
      </c>
      <c r="F45" s="5">
        <v>437562.48</v>
      </c>
      <c r="G45" s="5">
        <v>110926.32</v>
      </c>
      <c r="H45" s="5">
        <v>0</v>
      </c>
      <c r="I45" s="5">
        <v>0</v>
      </c>
      <c r="J45" s="5">
        <v>-252620.64</v>
      </c>
      <c r="K45" s="5">
        <v>295868.15999999997</v>
      </c>
      <c r="L45" s="5">
        <v>11404125</v>
      </c>
    </row>
    <row r="46" spans="1:12" x14ac:dyDescent="0.35">
      <c r="A46" s="16">
        <v>46022</v>
      </c>
      <c r="B46" s="1" t="s">
        <v>52</v>
      </c>
      <c r="C46" s="1" t="s">
        <v>76</v>
      </c>
      <c r="D46" s="1" t="s">
        <v>41</v>
      </c>
      <c r="E46" s="5">
        <v>29388435.719999999</v>
      </c>
      <c r="F46" s="5">
        <v>815749.32000000007</v>
      </c>
      <c r="G46" s="5">
        <v>245648.28</v>
      </c>
      <c r="H46" s="5">
        <v>37735.800000000003</v>
      </c>
      <c r="I46" s="5">
        <v>-77452.2</v>
      </c>
      <c r="J46" s="5">
        <v>-220801.08</v>
      </c>
      <c r="K46" s="5">
        <v>800880.12000000023</v>
      </c>
      <c r="L46" s="5">
        <v>30189315.84</v>
      </c>
    </row>
    <row r="47" spans="1:12" x14ac:dyDescent="0.35">
      <c r="A47" s="16">
        <v>46022</v>
      </c>
      <c r="B47" s="1" t="s">
        <v>52</v>
      </c>
      <c r="C47" s="1" t="s">
        <v>77</v>
      </c>
      <c r="D47" s="1" t="s">
        <v>41</v>
      </c>
      <c r="E47" s="5">
        <v>4629854.4000000004</v>
      </c>
      <c r="F47" s="5">
        <v>290647.08</v>
      </c>
      <c r="G47" s="5">
        <v>42114.6</v>
      </c>
      <c r="H47" s="5">
        <v>7295.16</v>
      </c>
      <c r="I47" s="5">
        <v>-13220.52</v>
      </c>
      <c r="J47" s="5">
        <v>-175538.64</v>
      </c>
      <c r="K47" s="5">
        <v>151297.67999999991</v>
      </c>
      <c r="L47" s="5">
        <v>4781152.08</v>
      </c>
    </row>
    <row r="48" spans="1:12" x14ac:dyDescent="0.35">
      <c r="A48" s="16">
        <v>46022</v>
      </c>
      <c r="B48" s="1" t="s">
        <v>52</v>
      </c>
      <c r="C48" s="1" t="s">
        <v>78</v>
      </c>
      <c r="D48" s="1" t="s">
        <v>41</v>
      </c>
      <c r="E48" s="5">
        <v>13354456.32</v>
      </c>
      <c r="F48" s="5">
        <v>325019.88</v>
      </c>
      <c r="G48" s="5">
        <v>197098.44</v>
      </c>
      <c r="H48" s="5">
        <v>30440.639999999999</v>
      </c>
      <c r="I48" s="5">
        <v>-55385.52</v>
      </c>
      <c r="J48" s="5">
        <v>-45262.44</v>
      </c>
      <c r="K48" s="5">
        <v>451910.99999999988</v>
      </c>
      <c r="L48" s="5">
        <v>13806367.32</v>
      </c>
    </row>
    <row r="49" spans="1:12" x14ac:dyDescent="0.35">
      <c r="A49" s="16">
        <v>46022</v>
      </c>
      <c r="B49" s="1" t="s">
        <v>52</v>
      </c>
      <c r="C49" s="1" t="s">
        <v>79</v>
      </c>
      <c r="D49" s="1" t="s">
        <v>41</v>
      </c>
      <c r="E49" s="5">
        <v>11404125</v>
      </c>
      <c r="F49" s="5">
        <v>200082.36</v>
      </c>
      <c r="G49" s="5">
        <v>6435.24</v>
      </c>
      <c r="H49" s="5">
        <v>0</v>
      </c>
      <c r="I49" s="5">
        <v>-8846.16</v>
      </c>
      <c r="J49" s="5">
        <v>0</v>
      </c>
      <c r="K49" s="5">
        <v>197671.44</v>
      </c>
      <c r="L49" s="5">
        <v>11601796.439999999</v>
      </c>
    </row>
    <row r="50" spans="1:12" x14ac:dyDescent="0.35">
      <c r="A50" s="16">
        <v>46053</v>
      </c>
      <c r="B50" s="1" t="s">
        <v>53</v>
      </c>
      <c r="C50" s="1" t="s">
        <v>76</v>
      </c>
      <c r="D50" s="1" t="s">
        <v>41</v>
      </c>
      <c r="E50" s="5">
        <v>30189315.84</v>
      </c>
      <c r="F50" s="5">
        <v>267424.44</v>
      </c>
      <c r="G50" s="5">
        <v>361621.20000000013</v>
      </c>
      <c r="H50" s="5">
        <v>3132</v>
      </c>
      <c r="I50" s="5">
        <v>-451736.88</v>
      </c>
      <c r="J50" s="5">
        <v>-188907.24</v>
      </c>
      <c r="K50" s="5">
        <v>-8466.479999999865</v>
      </c>
      <c r="L50" s="5">
        <v>30180849.359999999</v>
      </c>
    </row>
    <row r="51" spans="1:12" x14ac:dyDescent="0.35">
      <c r="A51" s="16">
        <v>46053</v>
      </c>
      <c r="B51" s="1" t="s">
        <v>53</v>
      </c>
      <c r="C51" s="1" t="s">
        <v>77</v>
      </c>
      <c r="D51" s="1" t="s">
        <v>41</v>
      </c>
      <c r="E51" s="5">
        <v>4781152.08</v>
      </c>
      <c r="F51" s="5">
        <v>71617.08</v>
      </c>
      <c r="G51" s="5">
        <v>40361.160000000003</v>
      </c>
      <c r="H51" s="5">
        <v>3132</v>
      </c>
      <c r="I51" s="5">
        <v>-11535.24</v>
      </c>
      <c r="J51" s="5">
        <v>-134016.48000000001</v>
      </c>
      <c r="K51" s="5">
        <v>-30441.48000000001</v>
      </c>
      <c r="L51" s="5">
        <v>4750710.5999999996</v>
      </c>
    </row>
    <row r="52" spans="1:12" x14ac:dyDescent="0.35">
      <c r="A52" s="16">
        <v>46053</v>
      </c>
      <c r="B52" s="1" t="s">
        <v>53</v>
      </c>
      <c r="C52" s="1" t="s">
        <v>78</v>
      </c>
      <c r="D52" s="1" t="s">
        <v>41</v>
      </c>
      <c r="E52" s="5">
        <v>13806367.32</v>
      </c>
      <c r="F52" s="5">
        <v>195807.35999999999</v>
      </c>
      <c r="G52" s="5">
        <v>298280.40000000002</v>
      </c>
      <c r="H52" s="5">
        <v>0</v>
      </c>
      <c r="I52" s="5">
        <v>-255434.88</v>
      </c>
      <c r="J52" s="5">
        <v>-54890.76</v>
      </c>
      <c r="K52" s="5">
        <v>183762.12</v>
      </c>
      <c r="L52" s="5">
        <v>13990129.439999999</v>
      </c>
    </row>
    <row r="53" spans="1:12" x14ac:dyDescent="0.35">
      <c r="A53" s="16">
        <v>46053</v>
      </c>
      <c r="B53" s="1" t="s">
        <v>53</v>
      </c>
      <c r="C53" s="1" t="s">
        <v>79</v>
      </c>
      <c r="D53" s="1" t="s">
        <v>41</v>
      </c>
      <c r="E53" s="5">
        <v>11601796.439999999</v>
      </c>
      <c r="F53" s="5">
        <v>0</v>
      </c>
      <c r="G53" s="5">
        <v>22979.64</v>
      </c>
      <c r="H53" s="5">
        <v>0</v>
      </c>
      <c r="I53" s="5">
        <v>-184766.76</v>
      </c>
      <c r="J53" s="5">
        <v>0</v>
      </c>
      <c r="K53" s="5">
        <v>-161787.12</v>
      </c>
      <c r="L53" s="5">
        <v>11440009.32</v>
      </c>
    </row>
    <row r="54" spans="1:12" x14ac:dyDescent="0.35">
      <c r="A54" s="16">
        <v>46081</v>
      </c>
      <c r="B54" s="1" t="s">
        <v>54</v>
      </c>
      <c r="C54" s="1" t="s">
        <v>76</v>
      </c>
      <c r="D54" s="1" t="s">
        <v>41</v>
      </c>
      <c r="E54" s="5">
        <v>30180849.359999999</v>
      </c>
      <c r="F54" s="5">
        <v>347874.72</v>
      </c>
      <c r="G54" s="5">
        <v>303632.88</v>
      </c>
      <c r="H54" s="5">
        <v>10064.52</v>
      </c>
      <c r="I54" s="5">
        <v>-150335.16</v>
      </c>
      <c r="J54" s="5">
        <v>-113861.4</v>
      </c>
      <c r="K54" s="5">
        <v>397375.56000000011</v>
      </c>
      <c r="L54" s="5">
        <v>30578224.920000002</v>
      </c>
    </row>
    <row r="55" spans="1:12" x14ac:dyDescent="0.35">
      <c r="A55" s="16">
        <v>46081</v>
      </c>
      <c r="B55" s="1" t="s">
        <v>54</v>
      </c>
      <c r="C55" s="1" t="s">
        <v>77</v>
      </c>
      <c r="D55" s="1" t="s">
        <v>41</v>
      </c>
      <c r="E55" s="5">
        <v>4750710.5999999996</v>
      </c>
      <c r="F55" s="5">
        <v>51735.72</v>
      </c>
      <c r="G55" s="5">
        <v>49117.32</v>
      </c>
      <c r="H55" s="5">
        <v>10064.52</v>
      </c>
      <c r="I55" s="5">
        <v>-12068.64</v>
      </c>
      <c r="J55" s="5">
        <v>-113861.4</v>
      </c>
      <c r="K55" s="5">
        <v>-15012.47999999998</v>
      </c>
      <c r="L55" s="5">
        <v>4735698.12</v>
      </c>
    </row>
    <row r="56" spans="1:12" x14ac:dyDescent="0.35">
      <c r="A56" s="16">
        <v>46081</v>
      </c>
      <c r="B56" s="1" t="s">
        <v>54</v>
      </c>
      <c r="C56" s="1" t="s">
        <v>78</v>
      </c>
      <c r="D56" s="1" t="s">
        <v>41</v>
      </c>
      <c r="E56" s="5">
        <v>13990129.439999999</v>
      </c>
      <c r="F56" s="5">
        <v>131305.44</v>
      </c>
      <c r="G56" s="5">
        <v>197938.44</v>
      </c>
      <c r="H56" s="5">
        <v>0</v>
      </c>
      <c r="I56" s="5">
        <v>-138266.51999999999</v>
      </c>
      <c r="J56" s="5">
        <v>0</v>
      </c>
      <c r="K56" s="5">
        <v>190977.36</v>
      </c>
      <c r="L56" s="5">
        <v>14181106.800000001</v>
      </c>
    </row>
    <row r="57" spans="1:12" x14ac:dyDescent="0.35">
      <c r="A57" s="16">
        <v>46081</v>
      </c>
      <c r="B57" s="1" t="s">
        <v>54</v>
      </c>
      <c r="C57" s="1" t="s">
        <v>79</v>
      </c>
      <c r="D57" s="1" t="s">
        <v>41</v>
      </c>
      <c r="E57" s="5">
        <v>11440009.32</v>
      </c>
      <c r="F57" s="5">
        <v>164833.56</v>
      </c>
      <c r="G57" s="5">
        <v>56577.120000000003</v>
      </c>
      <c r="H57" s="5">
        <v>0</v>
      </c>
      <c r="I57" s="5">
        <v>0</v>
      </c>
      <c r="J57" s="5">
        <v>0</v>
      </c>
      <c r="K57" s="5">
        <v>221410.68</v>
      </c>
      <c r="L57" s="5">
        <v>11661420</v>
      </c>
    </row>
    <row r="58" spans="1:12" x14ac:dyDescent="0.35">
      <c r="A58" s="16">
        <v>46112</v>
      </c>
      <c r="B58" s="1" t="s">
        <v>55</v>
      </c>
      <c r="C58" s="1" t="s">
        <v>76</v>
      </c>
      <c r="D58" s="1" t="s">
        <v>41</v>
      </c>
      <c r="E58" s="5">
        <v>30578224.920000002</v>
      </c>
      <c r="F58" s="5">
        <v>452642.28</v>
      </c>
      <c r="G58" s="5">
        <v>237688.44</v>
      </c>
      <c r="H58" s="5">
        <v>7982.76</v>
      </c>
      <c r="I58" s="5">
        <v>-205926.12</v>
      </c>
      <c r="J58" s="5">
        <v>-233182.92</v>
      </c>
      <c r="K58" s="5">
        <v>259204.44</v>
      </c>
      <c r="L58" s="5">
        <v>30837429.359999999</v>
      </c>
    </row>
    <row r="59" spans="1:12" x14ac:dyDescent="0.35">
      <c r="A59" s="16">
        <v>46112</v>
      </c>
      <c r="B59" s="1" t="s">
        <v>55</v>
      </c>
      <c r="C59" s="1" t="s">
        <v>77</v>
      </c>
      <c r="D59" s="1" t="s">
        <v>41</v>
      </c>
      <c r="E59" s="5">
        <v>4735698.12</v>
      </c>
      <c r="F59" s="5">
        <v>122782.8</v>
      </c>
      <c r="G59" s="5">
        <v>51014.76</v>
      </c>
      <c r="H59" s="5">
        <v>7982.76</v>
      </c>
      <c r="I59" s="5">
        <v>-4116</v>
      </c>
      <c r="J59" s="5">
        <v>-114346.56</v>
      </c>
      <c r="K59" s="5">
        <v>63317.760000000009</v>
      </c>
      <c r="L59" s="5">
        <v>4799015.88</v>
      </c>
    </row>
    <row r="60" spans="1:12" x14ac:dyDescent="0.35">
      <c r="A60" s="16">
        <v>46112</v>
      </c>
      <c r="B60" s="1" t="s">
        <v>55</v>
      </c>
      <c r="C60" s="1" t="s">
        <v>78</v>
      </c>
      <c r="D60" s="1" t="s">
        <v>41</v>
      </c>
      <c r="E60" s="5">
        <v>14181106.800000001</v>
      </c>
      <c r="F60" s="5">
        <v>207565.32</v>
      </c>
      <c r="G60" s="5">
        <v>176055.84</v>
      </c>
      <c r="H60" s="5">
        <v>0</v>
      </c>
      <c r="I60" s="5">
        <v>-201810.12</v>
      </c>
      <c r="J60" s="5">
        <v>-118836.36</v>
      </c>
      <c r="K60" s="5">
        <v>62974.680000000037</v>
      </c>
      <c r="L60" s="5">
        <v>14244081.48</v>
      </c>
    </row>
    <row r="61" spans="1:12" x14ac:dyDescent="0.35">
      <c r="A61" s="16">
        <v>46112</v>
      </c>
      <c r="B61" s="1" t="s">
        <v>55</v>
      </c>
      <c r="C61" s="1" t="s">
        <v>79</v>
      </c>
      <c r="D61" s="1" t="s">
        <v>41</v>
      </c>
      <c r="E61" s="5">
        <v>11661420</v>
      </c>
      <c r="F61" s="5">
        <v>122294.16</v>
      </c>
      <c r="G61" s="5">
        <v>10617.84</v>
      </c>
      <c r="H61" s="5">
        <v>0</v>
      </c>
      <c r="I61" s="5">
        <v>0</v>
      </c>
      <c r="J61" s="5">
        <v>0</v>
      </c>
      <c r="K61" s="5">
        <v>132912</v>
      </c>
      <c r="L61" s="5">
        <v>11794332</v>
      </c>
    </row>
    <row r="62" spans="1:12" x14ac:dyDescent="0.35">
      <c r="A62" s="16">
        <v>46142</v>
      </c>
      <c r="B62" s="1" t="s">
        <v>56</v>
      </c>
      <c r="C62" s="1" t="s">
        <v>76</v>
      </c>
      <c r="D62" s="1" t="s">
        <v>41</v>
      </c>
      <c r="E62" s="5">
        <v>30837429.359999999</v>
      </c>
      <c r="F62" s="5">
        <v>134448.48000000001</v>
      </c>
      <c r="G62" s="5">
        <v>820157.04</v>
      </c>
      <c r="H62" s="5">
        <v>3643.2</v>
      </c>
      <c r="I62" s="5">
        <v>-61498.8</v>
      </c>
      <c r="J62" s="5">
        <v>-286825.44</v>
      </c>
      <c r="K62" s="5">
        <v>609924.48</v>
      </c>
      <c r="L62" s="5">
        <v>31447353.84</v>
      </c>
    </row>
    <row r="63" spans="1:12" x14ac:dyDescent="0.35">
      <c r="A63" s="16">
        <v>46142</v>
      </c>
      <c r="B63" s="1" t="s">
        <v>56</v>
      </c>
      <c r="C63" s="1" t="s">
        <v>77</v>
      </c>
      <c r="D63" s="1" t="s">
        <v>41</v>
      </c>
      <c r="E63" s="5">
        <v>4799015.88</v>
      </c>
      <c r="F63" s="5">
        <v>72235.92</v>
      </c>
      <c r="G63" s="5">
        <v>46655.4</v>
      </c>
      <c r="H63" s="5">
        <v>3643.2</v>
      </c>
      <c r="I63" s="5">
        <v>-22612.44</v>
      </c>
      <c r="J63" s="5">
        <v>-118468.2</v>
      </c>
      <c r="K63" s="5">
        <v>-18546.12</v>
      </c>
      <c r="L63" s="5">
        <v>4780469.76</v>
      </c>
    </row>
    <row r="64" spans="1:12" x14ac:dyDescent="0.35">
      <c r="A64" s="16">
        <v>46142</v>
      </c>
      <c r="B64" s="1" t="s">
        <v>56</v>
      </c>
      <c r="C64" s="1" t="s">
        <v>78</v>
      </c>
      <c r="D64" s="1" t="s">
        <v>41</v>
      </c>
      <c r="E64" s="5">
        <v>14244081.48</v>
      </c>
      <c r="F64" s="5">
        <v>62212.56</v>
      </c>
      <c r="G64" s="5">
        <v>387264</v>
      </c>
      <c r="H64" s="5">
        <v>0</v>
      </c>
      <c r="I64" s="5">
        <v>-11279.28</v>
      </c>
      <c r="J64" s="5">
        <v>-168357.24</v>
      </c>
      <c r="K64" s="5">
        <v>269840.03999999998</v>
      </c>
      <c r="L64" s="5">
        <v>14513921.52</v>
      </c>
    </row>
    <row r="65" spans="1:12" x14ac:dyDescent="0.35">
      <c r="A65" s="16">
        <v>46142</v>
      </c>
      <c r="B65" s="1" t="s">
        <v>56</v>
      </c>
      <c r="C65" s="1" t="s">
        <v>79</v>
      </c>
      <c r="D65" s="1" t="s">
        <v>41</v>
      </c>
      <c r="E65" s="5">
        <v>11794332</v>
      </c>
      <c r="F65" s="5">
        <v>0</v>
      </c>
      <c r="G65" s="5">
        <v>386237.64</v>
      </c>
      <c r="H65" s="5">
        <v>0</v>
      </c>
      <c r="I65" s="5">
        <v>-27607.08</v>
      </c>
      <c r="J65" s="5">
        <v>0</v>
      </c>
      <c r="K65" s="5">
        <v>358630.56</v>
      </c>
      <c r="L65" s="5">
        <v>12152962.560000001</v>
      </c>
    </row>
    <row r="66" spans="1:12" x14ac:dyDescent="0.35">
      <c r="A66" s="16">
        <v>46173</v>
      </c>
      <c r="B66" s="1" t="s">
        <v>57</v>
      </c>
      <c r="C66" s="1" t="s">
        <v>76</v>
      </c>
      <c r="D66" s="1" t="s">
        <v>41</v>
      </c>
      <c r="E66" s="5">
        <v>31447353.84</v>
      </c>
      <c r="F66" s="5">
        <v>170863.2</v>
      </c>
      <c r="G66" s="5">
        <v>1119731.3999999999</v>
      </c>
      <c r="H66" s="5">
        <v>14374.56</v>
      </c>
      <c r="I66" s="5">
        <v>-139362.12</v>
      </c>
      <c r="J66" s="5">
        <v>-119750.52</v>
      </c>
      <c r="K66" s="5">
        <v>1045856.52</v>
      </c>
      <c r="L66" s="5">
        <v>32493210.359999999</v>
      </c>
    </row>
    <row r="67" spans="1:12" x14ac:dyDescent="0.35">
      <c r="A67" s="16">
        <v>46173</v>
      </c>
      <c r="B67" s="1" t="s">
        <v>57</v>
      </c>
      <c r="C67" s="1" t="s">
        <v>77</v>
      </c>
      <c r="D67" s="1" t="s">
        <v>41</v>
      </c>
      <c r="E67" s="5">
        <v>4780469.76</v>
      </c>
      <c r="F67" s="5">
        <v>84944.52</v>
      </c>
      <c r="G67" s="5">
        <v>48814.32</v>
      </c>
      <c r="H67" s="5">
        <v>14374.56</v>
      </c>
      <c r="I67" s="5">
        <v>-19640.64</v>
      </c>
      <c r="J67" s="5">
        <v>-119750.52</v>
      </c>
      <c r="K67" s="5">
        <v>8742.2399999999907</v>
      </c>
      <c r="L67" s="5">
        <v>4789212</v>
      </c>
    </row>
    <row r="68" spans="1:12" x14ac:dyDescent="0.35">
      <c r="A68" s="16">
        <v>46173</v>
      </c>
      <c r="B68" s="1" t="s">
        <v>57</v>
      </c>
      <c r="C68" s="1" t="s">
        <v>78</v>
      </c>
      <c r="D68" s="1" t="s">
        <v>41</v>
      </c>
      <c r="E68" s="5">
        <v>14513921.52</v>
      </c>
      <c r="F68" s="5">
        <v>85918.68</v>
      </c>
      <c r="G68" s="5">
        <v>558817.56000000006</v>
      </c>
      <c r="H68" s="5">
        <v>0</v>
      </c>
      <c r="I68" s="5">
        <v>-76407.12</v>
      </c>
      <c r="J68" s="5">
        <v>0</v>
      </c>
      <c r="K68" s="5">
        <v>568329.12</v>
      </c>
      <c r="L68" s="5">
        <v>15082250.640000001</v>
      </c>
    </row>
    <row r="69" spans="1:12" x14ac:dyDescent="0.35">
      <c r="A69" s="16">
        <v>46173</v>
      </c>
      <c r="B69" s="1" t="s">
        <v>57</v>
      </c>
      <c r="C69" s="1" t="s">
        <v>79</v>
      </c>
      <c r="D69" s="1" t="s">
        <v>41</v>
      </c>
      <c r="E69" s="5">
        <v>12152962.560000001</v>
      </c>
      <c r="F69" s="5">
        <v>0</v>
      </c>
      <c r="G69" s="5">
        <v>512099.52</v>
      </c>
      <c r="H69" s="5">
        <v>0</v>
      </c>
      <c r="I69" s="5">
        <v>-43314.36</v>
      </c>
      <c r="J69" s="5">
        <v>0</v>
      </c>
      <c r="K69" s="5">
        <v>468785.16</v>
      </c>
      <c r="L69" s="5">
        <v>12621747.720000001</v>
      </c>
    </row>
    <row r="70" spans="1:12" x14ac:dyDescent="0.35">
      <c r="A70" s="16">
        <v>46203</v>
      </c>
      <c r="B70" s="1" t="s">
        <v>58</v>
      </c>
      <c r="C70" s="1" t="s">
        <v>76</v>
      </c>
      <c r="D70" s="1" t="s">
        <v>41</v>
      </c>
      <c r="E70" s="5">
        <v>32493210.359999999</v>
      </c>
      <c r="F70" s="5">
        <v>650292.36</v>
      </c>
      <c r="G70" s="5">
        <v>510603.96</v>
      </c>
      <c r="H70" s="5">
        <v>20643.240000000002</v>
      </c>
      <c r="I70" s="5">
        <v>-95907.839999999997</v>
      </c>
      <c r="J70" s="5">
        <v>-562121.76</v>
      </c>
      <c r="K70" s="5">
        <v>523509.96</v>
      </c>
      <c r="L70" s="5">
        <v>33016720.32</v>
      </c>
    </row>
    <row r="71" spans="1:12" x14ac:dyDescent="0.35">
      <c r="A71" s="16">
        <v>46203</v>
      </c>
      <c r="B71" s="1" t="s">
        <v>58</v>
      </c>
      <c r="C71" s="1" t="s">
        <v>77</v>
      </c>
      <c r="D71" s="1" t="s">
        <v>41</v>
      </c>
      <c r="E71" s="5">
        <v>4789212</v>
      </c>
      <c r="F71" s="5">
        <v>83896.56</v>
      </c>
      <c r="G71" s="5">
        <v>43557.599999999999</v>
      </c>
      <c r="H71" s="5">
        <v>20643.240000000002</v>
      </c>
      <c r="I71" s="5">
        <v>-22324.080000000002</v>
      </c>
      <c r="J71" s="5">
        <v>-90196.44</v>
      </c>
      <c r="K71" s="5">
        <v>35576.87999999999</v>
      </c>
      <c r="L71" s="5">
        <v>4824788.88</v>
      </c>
    </row>
    <row r="72" spans="1:12" x14ac:dyDescent="0.35">
      <c r="A72" s="16">
        <v>46203</v>
      </c>
      <c r="B72" s="1" t="s">
        <v>58</v>
      </c>
      <c r="C72" s="1" t="s">
        <v>78</v>
      </c>
      <c r="D72" s="1" t="s">
        <v>41</v>
      </c>
      <c r="E72" s="5">
        <v>15082250.640000001</v>
      </c>
      <c r="F72" s="5">
        <v>134640.12</v>
      </c>
      <c r="G72" s="5">
        <v>420598.44</v>
      </c>
      <c r="H72" s="5">
        <v>0</v>
      </c>
      <c r="I72" s="5">
        <v>-73583.759999999995</v>
      </c>
      <c r="J72" s="5">
        <v>-64078.080000000002</v>
      </c>
      <c r="K72" s="5">
        <v>417576.72</v>
      </c>
      <c r="L72" s="5">
        <v>15499827.359999999</v>
      </c>
    </row>
    <row r="73" spans="1:12" x14ac:dyDescent="0.35">
      <c r="A73" s="16">
        <v>46203</v>
      </c>
      <c r="B73" s="1" t="s">
        <v>58</v>
      </c>
      <c r="C73" s="1" t="s">
        <v>79</v>
      </c>
      <c r="D73" s="1" t="s">
        <v>41</v>
      </c>
      <c r="E73" s="5">
        <v>12621747.720000001</v>
      </c>
      <c r="F73" s="5">
        <v>431755.68</v>
      </c>
      <c r="G73" s="5">
        <v>46447.92</v>
      </c>
      <c r="H73" s="5">
        <v>0</v>
      </c>
      <c r="I73" s="5">
        <v>0</v>
      </c>
      <c r="J73" s="5">
        <v>-407847.24</v>
      </c>
      <c r="K73" s="5">
        <v>70356.359999999986</v>
      </c>
      <c r="L73" s="5">
        <v>12692104.08</v>
      </c>
    </row>
    <row r="74" spans="1:12" x14ac:dyDescent="0.35">
      <c r="A74" s="16">
        <v>46234</v>
      </c>
      <c r="B74" s="1" t="s">
        <v>59</v>
      </c>
      <c r="C74" s="1" t="s">
        <v>76</v>
      </c>
      <c r="D74" s="1" t="s">
        <v>60</v>
      </c>
      <c r="E74" s="5">
        <v>33016720.32</v>
      </c>
      <c r="F74" s="5">
        <v>379723.84316577658</v>
      </c>
      <c r="G74" s="5">
        <v>514111.27215857449</v>
      </c>
      <c r="H74" s="5">
        <v>8534.9</v>
      </c>
      <c r="I74" s="5">
        <v>-86848.288651548501</v>
      </c>
      <c r="J74" s="5">
        <v>-160575.3263550167</v>
      </c>
      <c r="K74" s="5">
        <v>654946.40031778603</v>
      </c>
      <c r="L74" s="5">
        <v>33671666.720317788</v>
      </c>
    </row>
    <row r="75" spans="1:12" x14ac:dyDescent="0.35">
      <c r="A75" s="16">
        <v>46234</v>
      </c>
      <c r="B75" s="1" t="s">
        <v>59</v>
      </c>
      <c r="C75" s="1" t="s">
        <v>77</v>
      </c>
      <c r="D75" s="1" t="s">
        <v>60</v>
      </c>
      <c r="E75" s="5">
        <v>4824788.88</v>
      </c>
      <c r="F75" s="5">
        <v>116171.043027238</v>
      </c>
      <c r="G75" s="5">
        <v>50432.017469558363</v>
      </c>
      <c r="H75" s="5">
        <v>5998.18</v>
      </c>
      <c r="I75" s="5">
        <v>-10173.78275726076</v>
      </c>
      <c r="J75" s="5">
        <v>-84418.506368075105</v>
      </c>
      <c r="K75" s="5">
        <v>78008.951371460469</v>
      </c>
      <c r="L75" s="5">
        <v>4902797.8313714601</v>
      </c>
    </row>
    <row r="76" spans="1:12" x14ac:dyDescent="0.35">
      <c r="A76" s="16">
        <v>46234</v>
      </c>
      <c r="B76" s="1" t="s">
        <v>59</v>
      </c>
      <c r="C76" s="1" t="s">
        <v>78</v>
      </c>
      <c r="D76" s="1" t="s">
        <v>60</v>
      </c>
      <c r="E76" s="5">
        <v>15499827.359999999</v>
      </c>
      <c r="F76" s="5">
        <v>181984.74013853859</v>
      </c>
      <c r="G76" s="5">
        <v>344121.12452739</v>
      </c>
      <c r="H76" s="5">
        <v>2536.7199999999998</v>
      </c>
      <c r="I76" s="5">
        <v>-76674.505894287737</v>
      </c>
      <c r="J76" s="5">
        <v>-76156.819986941642</v>
      </c>
      <c r="K76" s="5">
        <v>375811.25878469931</v>
      </c>
      <c r="L76" s="5">
        <v>15875638.6187847</v>
      </c>
    </row>
    <row r="77" spans="1:12" x14ac:dyDescent="0.35">
      <c r="A77" s="16">
        <v>46234</v>
      </c>
      <c r="B77" s="1" t="s">
        <v>59</v>
      </c>
      <c r="C77" s="1" t="s">
        <v>79</v>
      </c>
      <c r="D77" s="1" t="s">
        <v>60</v>
      </c>
      <c r="E77" s="5">
        <v>12692104.08</v>
      </c>
      <c r="F77" s="5">
        <v>81568.06</v>
      </c>
      <c r="G77" s="5">
        <v>119558.13016162621</v>
      </c>
      <c r="H77" s="5">
        <v>0</v>
      </c>
      <c r="I77" s="5">
        <v>0</v>
      </c>
      <c r="J77" s="5">
        <v>0</v>
      </c>
      <c r="K77" s="5">
        <v>201126.1901616262</v>
      </c>
      <c r="L77" s="5">
        <v>12893230.270161631</v>
      </c>
    </row>
    <row r="78" spans="1:12" x14ac:dyDescent="0.35">
      <c r="A78" s="16">
        <v>46265</v>
      </c>
      <c r="B78" s="1" t="s">
        <v>61</v>
      </c>
      <c r="C78" s="1" t="s">
        <v>76</v>
      </c>
      <c r="D78" s="1" t="s">
        <v>60</v>
      </c>
      <c r="E78" s="5">
        <v>33671666.720317781</v>
      </c>
      <c r="F78" s="5">
        <v>78926.912128142954</v>
      </c>
      <c r="G78" s="5">
        <v>514111.27215857449</v>
      </c>
      <c r="H78" s="5">
        <v>8534.9</v>
      </c>
      <c r="I78" s="5">
        <v>-99397.349603867959</v>
      </c>
      <c r="J78" s="5">
        <v>-188223.0459561141</v>
      </c>
      <c r="K78" s="5">
        <v>313952.68872673548</v>
      </c>
      <c r="L78" s="5">
        <v>33985619.409044519</v>
      </c>
    </row>
    <row r="79" spans="1:12" x14ac:dyDescent="0.35">
      <c r="A79" s="16">
        <v>46265</v>
      </c>
      <c r="B79" s="1" t="s">
        <v>61</v>
      </c>
      <c r="C79" s="1" t="s">
        <v>77</v>
      </c>
      <c r="D79" s="1" t="s">
        <v>60</v>
      </c>
      <c r="E79" s="5">
        <v>4902797.8313714601</v>
      </c>
      <c r="F79" s="5">
        <v>3638.936946983546</v>
      </c>
      <c r="G79" s="5">
        <v>50432.017469558363</v>
      </c>
      <c r="H79" s="5">
        <v>5998.18</v>
      </c>
      <c r="I79" s="5">
        <v>-13436.938390337111</v>
      </c>
      <c r="J79" s="5">
        <v>-96819.83710991776</v>
      </c>
      <c r="K79" s="5">
        <v>-50187.641083712959</v>
      </c>
      <c r="L79" s="5">
        <v>4852610.1902877474</v>
      </c>
    </row>
    <row r="80" spans="1:12" x14ac:dyDescent="0.35">
      <c r="A80" s="16">
        <v>46265</v>
      </c>
      <c r="B80" s="1" t="s">
        <v>61</v>
      </c>
      <c r="C80" s="1" t="s">
        <v>78</v>
      </c>
      <c r="D80" s="1" t="s">
        <v>60</v>
      </c>
      <c r="E80" s="5">
        <v>15875638.6187847</v>
      </c>
      <c r="F80" s="5">
        <v>29156.927681159421</v>
      </c>
      <c r="G80" s="5">
        <v>344121.12452739</v>
      </c>
      <c r="H80" s="5">
        <v>2536.7199999999998</v>
      </c>
      <c r="I80" s="5">
        <v>-60847.236904198668</v>
      </c>
      <c r="J80" s="5">
        <v>-60436.41251506361</v>
      </c>
      <c r="K80" s="5">
        <v>254531.1227892871</v>
      </c>
      <c r="L80" s="5">
        <v>16130169.741573989</v>
      </c>
    </row>
    <row r="81" spans="1:12" x14ac:dyDescent="0.35">
      <c r="A81" s="16">
        <v>46265</v>
      </c>
      <c r="B81" s="1" t="s">
        <v>61</v>
      </c>
      <c r="C81" s="1" t="s">
        <v>79</v>
      </c>
      <c r="D81" s="1" t="s">
        <v>60</v>
      </c>
      <c r="E81" s="5">
        <v>12893230.270161619</v>
      </c>
      <c r="F81" s="5">
        <v>46131.047500000001</v>
      </c>
      <c r="G81" s="5">
        <v>119558.13016162621</v>
      </c>
      <c r="H81" s="5">
        <v>0</v>
      </c>
      <c r="I81" s="5">
        <v>-25113.174309332189</v>
      </c>
      <c r="J81" s="5">
        <v>-30966.796331132769</v>
      </c>
      <c r="K81" s="5">
        <v>109609.2070211612</v>
      </c>
      <c r="L81" s="5">
        <v>13002839.477182791</v>
      </c>
    </row>
    <row r="82" spans="1:12" x14ac:dyDescent="0.35">
      <c r="A82" s="16">
        <v>46295</v>
      </c>
      <c r="B82" s="1" t="s">
        <v>63</v>
      </c>
      <c r="C82" s="1" t="s">
        <v>76</v>
      </c>
      <c r="D82" s="1" t="s">
        <v>60</v>
      </c>
      <c r="E82" s="5">
        <v>33985619.409044519</v>
      </c>
      <c r="F82" s="5">
        <v>10415.98618357488</v>
      </c>
      <c r="G82" s="5">
        <v>514111.27215857449</v>
      </c>
      <c r="H82" s="5">
        <v>8534.9</v>
      </c>
      <c r="I82" s="5">
        <v>-102725.1590022825</v>
      </c>
      <c r="J82" s="5">
        <v>-188558.2199998436</v>
      </c>
      <c r="K82" s="5">
        <v>241778.77934002329</v>
      </c>
      <c r="L82" s="5">
        <v>34227398.188384548</v>
      </c>
    </row>
    <row r="83" spans="1:12" x14ac:dyDescent="0.35">
      <c r="A83" s="16">
        <v>46295</v>
      </c>
      <c r="B83" s="1" t="s">
        <v>63</v>
      </c>
      <c r="C83" s="1" t="s">
        <v>77</v>
      </c>
      <c r="D83" s="1" t="s">
        <v>60</v>
      </c>
      <c r="E83" s="5">
        <v>4852610.1902877474</v>
      </c>
      <c r="F83" s="5">
        <v>0</v>
      </c>
      <c r="G83" s="5">
        <v>50432.017469558363</v>
      </c>
      <c r="H83" s="5">
        <v>5998.18</v>
      </c>
      <c r="I83" s="5">
        <v>-11510.7823857741</v>
      </c>
      <c r="J83" s="5">
        <v>-89499.653717238863</v>
      </c>
      <c r="K83" s="5">
        <v>-44580.238633454603</v>
      </c>
      <c r="L83" s="5">
        <v>4808029.9516542926</v>
      </c>
    </row>
    <row r="84" spans="1:12" x14ac:dyDescent="0.35">
      <c r="A84" s="16">
        <v>46295</v>
      </c>
      <c r="B84" s="1" t="s">
        <v>63</v>
      </c>
      <c r="C84" s="1" t="s">
        <v>78</v>
      </c>
      <c r="D84" s="1" t="s">
        <v>60</v>
      </c>
      <c r="E84" s="5">
        <v>16130169.741573989</v>
      </c>
      <c r="F84" s="5">
        <v>10415.98618357488</v>
      </c>
      <c r="G84" s="5">
        <v>344121.12452739</v>
      </c>
      <c r="H84" s="5">
        <v>2536.7199999999998</v>
      </c>
      <c r="I84" s="5">
        <v>-55940.883191901303</v>
      </c>
      <c r="J84" s="5">
        <v>-55563.185200435022</v>
      </c>
      <c r="K84" s="5">
        <v>245569.76231862849</v>
      </c>
      <c r="L84" s="5">
        <v>16375739.50389261</v>
      </c>
    </row>
    <row r="85" spans="1:12" x14ac:dyDescent="0.35">
      <c r="A85" s="16">
        <v>46295</v>
      </c>
      <c r="B85" s="1" t="s">
        <v>63</v>
      </c>
      <c r="C85" s="1" t="s">
        <v>79</v>
      </c>
      <c r="D85" s="1" t="s">
        <v>60</v>
      </c>
      <c r="E85" s="5">
        <v>13002839.477182791</v>
      </c>
      <c r="F85" s="5">
        <v>0</v>
      </c>
      <c r="G85" s="5">
        <v>119558.13016162621</v>
      </c>
      <c r="H85" s="5">
        <v>0</v>
      </c>
      <c r="I85" s="5">
        <v>-35273.49342460707</v>
      </c>
      <c r="J85" s="5">
        <v>-43495.381082169733</v>
      </c>
      <c r="K85" s="5">
        <v>40789.25565484941</v>
      </c>
      <c r="L85" s="5">
        <v>13043628.73283764</v>
      </c>
    </row>
    <row r="86" spans="1:12" x14ac:dyDescent="0.35">
      <c r="A86" s="16">
        <v>46326</v>
      </c>
      <c r="B86" s="1" t="s">
        <v>64</v>
      </c>
      <c r="C86" s="1" t="s">
        <v>76</v>
      </c>
      <c r="D86" s="1" t="s">
        <v>60</v>
      </c>
      <c r="E86" s="5">
        <v>34227398.188384548</v>
      </c>
      <c r="F86" s="5">
        <v>11305.866570048311</v>
      </c>
      <c r="G86" s="5">
        <v>514111.27215857449</v>
      </c>
      <c r="H86" s="5">
        <v>8534.9</v>
      </c>
      <c r="I86" s="5">
        <v>-140395.9414876271</v>
      </c>
      <c r="J86" s="5">
        <v>-232938.51550390469</v>
      </c>
      <c r="K86" s="5">
        <v>160617.58173709101</v>
      </c>
      <c r="L86" s="5">
        <v>34388015.770121627</v>
      </c>
    </row>
    <row r="87" spans="1:12" x14ac:dyDescent="0.35">
      <c r="A87" s="16">
        <v>46326</v>
      </c>
      <c r="B87" s="1" t="s">
        <v>64</v>
      </c>
      <c r="C87" s="1" t="s">
        <v>77</v>
      </c>
      <c r="D87" s="1" t="s">
        <v>60</v>
      </c>
      <c r="E87" s="5">
        <v>4808029.9516542926</v>
      </c>
      <c r="F87" s="5">
        <v>0</v>
      </c>
      <c r="G87" s="5">
        <v>50432.017469558363</v>
      </c>
      <c r="H87" s="5">
        <v>5998.18</v>
      </c>
      <c r="I87" s="5">
        <v>-13739.803357515621</v>
      </c>
      <c r="J87" s="5">
        <v>-97970.848293701594</v>
      </c>
      <c r="K87" s="5">
        <v>-55280.454181658853</v>
      </c>
      <c r="L87" s="5">
        <v>4752749.4974726336</v>
      </c>
    </row>
    <row r="88" spans="1:12" x14ac:dyDescent="0.35">
      <c r="A88" s="16">
        <v>46326</v>
      </c>
      <c r="B88" s="1" t="s">
        <v>64</v>
      </c>
      <c r="C88" s="1" t="s">
        <v>78</v>
      </c>
      <c r="D88" s="1" t="s">
        <v>60</v>
      </c>
      <c r="E88" s="5">
        <v>16375739.503892619</v>
      </c>
      <c r="F88" s="5">
        <v>11305.866570048311</v>
      </c>
      <c r="G88" s="5">
        <v>344121.12452739</v>
      </c>
      <c r="H88" s="5">
        <v>2536.7199999999998</v>
      </c>
      <c r="I88" s="5">
        <v>-88436.394787036188</v>
      </c>
      <c r="J88" s="5">
        <v>-87839.295728571233</v>
      </c>
      <c r="K88" s="5">
        <v>181688.0205818309</v>
      </c>
      <c r="L88" s="5">
        <v>16557427.524474449</v>
      </c>
    </row>
    <row r="89" spans="1:12" x14ac:dyDescent="0.35">
      <c r="A89" s="16">
        <v>46326</v>
      </c>
      <c r="B89" s="1" t="s">
        <v>64</v>
      </c>
      <c r="C89" s="1" t="s">
        <v>79</v>
      </c>
      <c r="D89" s="1" t="s">
        <v>60</v>
      </c>
      <c r="E89" s="5">
        <v>13043628.73283764</v>
      </c>
      <c r="F89" s="5">
        <v>0</v>
      </c>
      <c r="G89" s="5">
        <v>119558.13016162621</v>
      </c>
      <c r="H89" s="5">
        <v>0</v>
      </c>
      <c r="I89" s="5">
        <v>-38219.743343075323</v>
      </c>
      <c r="J89" s="5">
        <v>-47128.371481631853</v>
      </c>
      <c r="K89" s="5">
        <v>34210.015336919023</v>
      </c>
      <c r="L89" s="5">
        <v>13077838.748174559</v>
      </c>
    </row>
    <row r="90" spans="1:12" x14ac:dyDescent="0.35">
      <c r="A90" s="16">
        <v>46356</v>
      </c>
      <c r="B90" s="1" t="s">
        <v>65</v>
      </c>
      <c r="C90" s="1" t="s">
        <v>76</v>
      </c>
      <c r="D90" s="1" t="s">
        <v>60</v>
      </c>
      <c r="E90" s="5">
        <v>34388015.770121627</v>
      </c>
      <c r="F90" s="5">
        <v>350964.27540200192</v>
      </c>
      <c r="G90" s="5">
        <v>514111.27215857449</v>
      </c>
      <c r="H90" s="5">
        <v>8534.9</v>
      </c>
      <c r="I90" s="5">
        <v>-183611.10877066091</v>
      </c>
      <c r="J90" s="5">
        <v>-301558.89956360741</v>
      </c>
      <c r="K90" s="5">
        <v>388440.43922630808</v>
      </c>
      <c r="L90" s="5">
        <v>34776456.209347941</v>
      </c>
    </row>
    <row r="91" spans="1:12" x14ac:dyDescent="0.35">
      <c r="A91" s="16">
        <v>46356</v>
      </c>
      <c r="B91" s="1" t="s">
        <v>65</v>
      </c>
      <c r="C91" s="1" t="s">
        <v>77</v>
      </c>
      <c r="D91" s="1" t="s">
        <v>60</v>
      </c>
      <c r="E91" s="5">
        <v>4752749.4974726336</v>
      </c>
      <c r="F91" s="5">
        <v>122945.6273056855</v>
      </c>
      <c r="G91" s="5">
        <v>50432.017469558363</v>
      </c>
      <c r="H91" s="5">
        <v>5998.18</v>
      </c>
      <c r="I91" s="5">
        <v>-17766.36319254995</v>
      </c>
      <c r="J91" s="5">
        <v>-113273.4283361386</v>
      </c>
      <c r="K91" s="5">
        <v>48336.033246555307</v>
      </c>
      <c r="L91" s="5">
        <v>4801085.530719189</v>
      </c>
    </row>
    <row r="92" spans="1:12" x14ac:dyDescent="0.35">
      <c r="A92" s="16">
        <v>46356</v>
      </c>
      <c r="B92" s="1" t="s">
        <v>65</v>
      </c>
      <c r="C92" s="1" t="s">
        <v>78</v>
      </c>
      <c r="D92" s="1" t="s">
        <v>60</v>
      </c>
      <c r="E92" s="5">
        <v>16557427.524474449</v>
      </c>
      <c r="F92" s="5">
        <v>142464.2615338164</v>
      </c>
      <c r="G92" s="5">
        <v>344121.12452739</v>
      </c>
      <c r="H92" s="5">
        <v>2536.7199999999998</v>
      </c>
      <c r="I92" s="5">
        <v>-67611.234158919397</v>
      </c>
      <c r="J92" s="5">
        <v>-67154.741056106228</v>
      </c>
      <c r="K92" s="5">
        <v>354356.13084618078</v>
      </c>
      <c r="L92" s="5">
        <v>16911783.655320629</v>
      </c>
    </row>
    <row r="93" spans="1:12" x14ac:dyDescent="0.35">
      <c r="A93" s="16">
        <v>46356</v>
      </c>
      <c r="B93" s="1" t="s">
        <v>65</v>
      </c>
      <c r="C93" s="1" t="s">
        <v>79</v>
      </c>
      <c r="D93" s="1" t="s">
        <v>60</v>
      </c>
      <c r="E93" s="5">
        <v>13077838.748174559</v>
      </c>
      <c r="F93" s="5">
        <v>85554.386562500003</v>
      </c>
      <c r="G93" s="5">
        <v>119558.13016162621</v>
      </c>
      <c r="H93" s="5">
        <v>0</v>
      </c>
      <c r="I93" s="5">
        <v>-98233.511419191607</v>
      </c>
      <c r="J93" s="5">
        <v>-121130.73017136259</v>
      </c>
      <c r="K93" s="5">
        <v>-14251.72486642796</v>
      </c>
      <c r="L93" s="5">
        <v>13063587.02330813</v>
      </c>
    </row>
    <row r="94" spans="1:12" x14ac:dyDescent="0.35">
      <c r="A94" s="16">
        <v>46387</v>
      </c>
      <c r="B94" s="1" t="s">
        <v>66</v>
      </c>
      <c r="C94" s="1" t="s">
        <v>76</v>
      </c>
      <c r="D94" s="1" t="s">
        <v>60</v>
      </c>
      <c r="E94" s="5">
        <v>34776456.209347941</v>
      </c>
      <c r="F94" s="5">
        <v>351431.15011490259</v>
      </c>
      <c r="G94" s="5">
        <v>514111.27215857449</v>
      </c>
      <c r="H94" s="5">
        <v>8534.9</v>
      </c>
      <c r="I94" s="5">
        <v>-351650.54688320449</v>
      </c>
      <c r="J94" s="5">
        <v>-482466.41994055721</v>
      </c>
      <c r="K94" s="5">
        <v>39960.355449715513</v>
      </c>
      <c r="L94" s="5">
        <v>34816416.564797662</v>
      </c>
    </row>
    <row r="95" spans="1:12" x14ac:dyDescent="0.35">
      <c r="A95" s="16">
        <v>46387</v>
      </c>
      <c r="B95" s="1" t="s">
        <v>66</v>
      </c>
      <c r="C95" s="1" t="s">
        <v>77</v>
      </c>
      <c r="D95" s="1" t="s">
        <v>60</v>
      </c>
      <c r="E95" s="5">
        <v>4801085.530719189</v>
      </c>
      <c r="F95" s="5">
        <v>123412.50201858619</v>
      </c>
      <c r="G95" s="5">
        <v>50432.017469558363</v>
      </c>
      <c r="H95" s="5">
        <v>5998.18</v>
      </c>
      <c r="I95" s="5">
        <v>-21309.62382753022</v>
      </c>
      <c r="J95" s="5">
        <v>-126739.27305207581</v>
      </c>
      <c r="K95" s="5">
        <v>31793.802608538521</v>
      </c>
      <c r="L95" s="5">
        <v>4832879.3333277274</v>
      </c>
    </row>
    <row r="96" spans="1:12" x14ac:dyDescent="0.35">
      <c r="A96" s="16">
        <v>46387</v>
      </c>
      <c r="B96" s="1" t="s">
        <v>66</v>
      </c>
      <c r="C96" s="1" t="s">
        <v>78</v>
      </c>
      <c r="D96" s="1" t="s">
        <v>60</v>
      </c>
      <c r="E96" s="5">
        <v>16911783.655320629</v>
      </c>
      <c r="F96" s="5">
        <v>142464.2615338164</v>
      </c>
      <c r="G96" s="5">
        <v>344121.12452739</v>
      </c>
      <c r="H96" s="5">
        <v>2536.7199999999998</v>
      </c>
      <c r="I96" s="5">
        <v>-215195.6846280508</v>
      </c>
      <c r="J96" s="5">
        <v>-213742.74049813059</v>
      </c>
      <c r="K96" s="5">
        <v>60183.680935024982</v>
      </c>
      <c r="L96" s="5">
        <v>16971967.336255651</v>
      </c>
    </row>
    <row r="97" spans="1:12" x14ac:dyDescent="0.35">
      <c r="A97" s="16">
        <v>46387</v>
      </c>
      <c r="B97" s="1" t="s">
        <v>66</v>
      </c>
      <c r="C97" s="1" t="s">
        <v>79</v>
      </c>
      <c r="D97" s="1" t="s">
        <v>60</v>
      </c>
      <c r="E97" s="5">
        <v>13063587.02330813</v>
      </c>
      <c r="F97" s="5">
        <v>85554.386562500003</v>
      </c>
      <c r="G97" s="5">
        <v>119558.13016162621</v>
      </c>
      <c r="H97" s="5">
        <v>0</v>
      </c>
      <c r="I97" s="5">
        <v>-115145.2384276235</v>
      </c>
      <c r="J97" s="5">
        <v>-141984.40639035081</v>
      </c>
      <c r="K97" s="5">
        <v>-52017.128093848078</v>
      </c>
      <c r="L97" s="5">
        <v>13011569.89521428</v>
      </c>
    </row>
  </sheetData>
  <pageMargins left="0.75" right="0.75" top="1" bottom="1" header="0.5" footer="0.5"/>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77"/>
  <sheetViews>
    <sheetView workbookViewId="0">
      <pane ySplit="1" topLeftCell="A2" activePane="bottomLeft" state="frozen"/>
      <selection pane="bottomLeft"/>
    </sheetView>
  </sheetViews>
  <sheetFormatPr defaultRowHeight="14.5" x14ac:dyDescent="0.35"/>
  <cols>
    <col min="1" max="1" width="18" customWidth="1"/>
    <col min="2" max="2" width="15" customWidth="1"/>
    <col min="3" max="3" width="12" customWidth="1"/>
    <col min="4" max="4" width="20" customWidth="1"/>
    <col min="5" max="5" width="24" customWidth="1"/>
    <col min="6" max="7" width="12" customWidth="1"/>
    <col min="8" max="8" width="18" customWidth="1"/>
    <col min="11" max="11" width="18" customWidth="1"/>
    <col min="12" max="12" width="15" customWidth="1"/>
    <col min="13" max="14" width="12" customWidth="1"/>
    <col min="15" max="15" width="18" customWidth="1"/>
    <col min="17" max="17" width="19" customWidth="1"/>
    <col min="18" max="18" width="12" customWidth="1"/>
    <col min="19" max="19" width="13" customWidth="1"/>
    <col min="20" max="20" width="12" customWidth="1"/>
    <col min="22" max="22" width="19" customWidth="1"/>
    <col min="23" max="23" width="12" customWidth="1"/>
    <col min="24" max="25" width="14" customWidth="1"/>
    <col min="26" max="26" width="12" customWidth="1"/>
  </cols>
  <sheetData>
    <row r="1" spans="1:26" x14ac:dyDescent="0.35">
      <c r="A1" s="15" t="s">
        <v>543</v>
      </c>
      <c r="B1" s="14" t="s">
        <v>544</v>
      </c>
      <c r="C1" s="14" t="s">
        <v>545</v>
      </c>
      <c r="D1" s="14" t="s">
        <v>559</v>
      </c>
      <c r="E1" s="14" t="s">
        <v>560</v>
      </c>
      <c r="F1" s="14" t="s">
        <v>561</v>
      </c>
      <c r="G1" s="14" t="s">
        <v>562</v>
      </c>
      <c r="H1" s="14" t="s">
        <v>563</v>
      </c>
      <c r="K1" s="14" t="s">
        <v>543</v>
      </c>
      <c r="L1" s="14" t="s">
        <v>544</v>
      </c>
      <c r="M1" s="14" t="s">
        <v>73</v>
      </c>
      <c r="N1" s="14" t="s">
        <v>74</v>
      </c>
      <c r="O1" s="14" t="s">
        <v>75</v>
      </c>
      <c r="Q1" s="14" t="s">
        <v>564</v>
      </c>
      <c r="R1" s="14" t="s">
        <v>545</v>
      </c>
      <c r="S1" s="14" t="s">
        <v>565</v>
      </c>
      <c r="T1" s="14" t="s">
        <v>566</v>
      </c>
      <c r="V1" s="14" t="s">
        <v>564</v>
      </c>
      <c r="W1" s="14" t="s">
        <v>77</v>
      </c>
      <c r="X1" s="14" t="s">
        <v>78</v>
      </c>
      <c r="Y1" s="14" t="s">
        <v>79</v>
      </c>
      <c r="Z1" s="14" t="s">
        <v>76</v>
      </c>
    </row>
    <row r="2" spans="1:26" x14ac:dyDescent="0.35">
      <c r="A2" s="16">
        <v>45657</v>
      </c>
      <c r="B2" s="1" t="s">
        <v>567</v>
      </c>
      <c r="C2" s="1" t="s">
        <v>79</v>
      </c>
      <c r="D2" s="5">
        <v>41</v>
      </c>
      <c r="E2" s="5">
        <v>7243149.5999999996</v>
      </c>
      <c r="F2" s="2">
        <v>0.98149654122841823</v>
      </c>
      <c r="G2" s="2">
        <v>0.93395749274597339</v>
      </c>
      <c r="H2" s="2">
        <v>0.92682926829268297</v>
      </c>
      <c r="K2" s="16">
        <v>45657</v>
      </c>
      <c r="L2" s="1" t="s">
        <v>567</v>
      </c>
      <c r="M2" s="2">
        <v>0.998416840067466</v>
      </c>
      <c r="N2" s="2">
        <v>0.88969684731742593</v>
      </c>
      <c r="O2" s="2">
        <v>0.80354879594423323</v>
      </c>
      <c r="Q2" s="1" t="s">
        <v>96</v>
      </c>
      <c r="R2" s="1" t="s">
        <v>76</v>
      </c>
      <c r="S2" s="5">
        <v>75</v>
      </c>
      <c r="T2" s="5">
        <v>3116233.44</v>
      </c>
      <c r="V2" s="1" t="s">
        <v>96</v>
      </c>
      <c r="W2" s="5">
        <v>230751.48</v>
      </c>
      <c r="X2" s="5">
        <v>2054292.48</v>
      </c>
      <c r="Y2" s="5">
        <v>831189.48</v>
      </c>
      <c r="Z2" s="5">
        <v>3116233.44</v>
      </c>
    </row>
    <row r="3" spans="1:26" x14ac:dyDescent="0.35">
      <c r="A3" s="16">
        <v>45657</v>
      </c>
      <c r="B3" s="1" t="s">
        <v>567</v>
      </c>
      <c r="C3" s="1" t="s">
        <v>78</v>
      </c>
      <c r="D3" s="5">
        <v>226</v>
      </c>
      <c r="E3" s="5">
        <v>7952748.5999999996</v>
      </c>
      <c r="F3" s="2">
        <v>1.071336061094651</v>
      </c>
      <c r="G3" s="2">
        <v>0.89739690752955525</v>
      </c>
      <c r="H3" s="2">
        <v>0.86725663716814161</v>
      </c>
      <c r="K3" s="16">
        <v>45688</v>
      </c>
      <c r="L3" s="1" t="s">
        <v>40</v>
      </c>
      <c r="M3" s="2">
        <v>0.981346125464852</v>
      </c>
      <c r="N3" s="2">
        <v>0.87250443494032437</v>
      </c>
      <c r="O3" s="2">
        <v>0.79393173198482936</v>
      </c>
      <c r="Q3" s="1" t="s">
        <v>96</v>
      </c>
      <c r="R3" s="1" t="s">
        <v>77</v>
      </c>
      <c r="S3" s="5">
        <v>31</v>
      </c>
      <c r="T3" s="5">
        <v>230751.48</v>
      </c>
      <c r="V3" s="1" t="s">
        <v>97</v>
      </c>
      <c r="W3" s="5">
        <v>499151.52</v>
      </c>
      <c r="X3" s="5">
        <v>3942065.52</v>
      </c>
      <c r="Y3" s="5">
        <v>3463115.76</v>
      </c>
      <c r="Z3" s="5">
        <v>7904332.7999999998</v>
      </c>
    </row>
    <row r="4" spans="1:26" x14ac:dyDescent="0.35">
      <c r="A4" s="16">
        <v>45657</v>
      </c>
      <c r="B4" s="1" t="s">
        <v>567</v>
      </c>
      <c r="C4" s="1" t="s">
        <v>77</v>
      </c>
      <c r="D4" s="5">
        <v>522</v>
      </c>
      <c r="E4" s="5">
        <v>3375238.8</v>
      </c>
      <c r="F4" s="2">
        <v>0.86291473065550206</v>
      </c>
      <c r="G4" s="2">
        <v>0.77657207543359608</v>
      </c>
      <c r="H4" s="2">
        <v>0.76628352490421459</v>
      </c>
      <c r="K4" s="16">
        <v>45716</v>
      </c>
      <c r="L4" s="1" t="s">
        <v>42</v>
      </c>
      <c r="M4" s="2">
        <v>0.99112616544966603</v>
      </c>
      <c r="N4" s="2">
        <v>0.87113694383554952</v>
      </c>
      <c r="O4" s="2">
        <v>0.79646017699115046</v>
      </c>
      <c r="Q4" s="1" t="s">
        <v>96</v>
      </c>
      <c r="R4" s="1" t="s">
        <v>78</v>
      </c>
      <c r="S4" s="5">
        <v>39</v>
      </c>
      <c r="T4" s="5">
        <v>2054292.48</v>
      </c>
      <c r="V4" s="1" t="s">
        <v>98</v>
      </c>
      <c r="W4" s="5">
        <v>480256.56</v>
      </c>
      <c r="X4" s="5">
        <v>4137916.44</v>
      </c>
      <c r="Y4" s="5">
        <v>3761399.88</v>
      </c>
      <c r="Z4" s="5">
        <v>8379572.8799999999</v>
      </c>
    </row>
    <row r="5" spans="1:26" x14ac:dyDescent="0.35">
      <c r="A5" s="16">
        <v>45657</v>
      </c>
      <c r="B5" s="1" t="s">
        <v>567</v>
      </c>
      <c r="C5" s="1" t="s">
        <v>76</v>
      </c>
      <c r="D5" s="5">
        <v>789</v>
      </c>
      <c r="E5" s="5">
        <v>18571137</v>
      </c>
      <c r="F5" s="2">
        <v>0.998416840067466</v>
      </c>
      <c r="G5" s="2">
        <v>0.88969684731742593</v>
      </c>
      <c r="H5" s="2">
        <v>0.80354879594423323</v>
      </c>
      <c r="K5" s="16">
        <v>45747</v>
      </c>
      <c r="L5" s="1" t="s">
        <v>43</v>
      </c>
      <c r="M5" s="2">
        <v>0.99723105281282642</v>
      </c>
      <c r="N5" s="2">
        <v>0.88072880774768914</v>
      </c>
      <c r="O5" s="2">
        <v>0.80352644836272036</v>
      </c>
      <c r="Q5" s="1" t="s">
        <v>96</v>
      </c>
      <c r="R5" s="1" t="s">
        <v>79</v>
      </c>
      <c r="S5" s="5">
        <v>5</v>
      </c>
      <c r="T5" s="5">
        <v>831189.48</v>
      </c>
      <c r="V5" s="1" t="s">
        <v>99</v>
      </c>
      <c r="W5" s="5">
        <v>515040.36</v>
      </c>
      <c r="X5" s="5">
        <v>3068660.76</v>
      </c>
      <c r="Y5" s="5">
        <v>766476.72</v>
      </c>
      <c r="Z5" s="5">
        <v>4350177.84</v>
      </c>
    </row>
    <row r="6" spans="1:26" x14ac:dyDescent="0.35">
      <c r="A6" s="16">
        <v>45688</v>
      </c>
      <c r="B6" s="1" t="s">
        <v>40</v>
      </c>
      <c r="C6" s="1" t="s">
        <v>79</v>
      </c>
      <c r="D6" s="5">
        <v>42</v>
      </c>
      <c r="E6" s="5">
        <v>7342855.9199999999</v>
      </c>
      <c r="F6" s="2">
        <v>0.98889818881261682</v>
      </c>
      <c r="G6" s="2">
        <v>0.93095125309227078</v>
      </c>
      <c r="H6" s="2">
        <v>0.9285714285714286</v>
      </c>
      <c r="K6" s="16">
        <v>45777</v>
      </c>
      <c r="L6" s="1" t="s">
        <v>44</v>
      </c>
      <c r="M6" s="2">
        <v>0.99808923238269598</v>
      </c>
      <c r="N6" s="2">
        <v>0.88590606920455062</v>
      </c>
      <c r="O6" s="2">
        <v>0.81841432225063937</v>
      </c>
      <c r="Q6" s="1" t="s">
        <v>97</v>
      </c>
      <c r="R6" s="1" t="s">
        <v>76</v>
      </c>
      <c r="S6" s="5">
        <v>143</v>
      </c>
      <c r="T6" s="5">
        <v>7904332.7999999998</v>
      </c>
      <c r="V6" s="1" t="s">
        <v>100</v>
      </c>
      <c r="W6" s="5">
        <v>15480.24</v>
      </c>
      <c r="X6" s="5">
        <v>450161.52</v>
      </c>
      <c r="Y6" s="5">
        <v>425074.32</v>
      </c>
      <c r="Z6" s="5">
        <v>890716.08</v>
      </c>
    </row>
    <row r="7" spans="1:26" x14ac:dyDescent="0.35">
      <c r="A7" s="16">
        <v>45688</v>
      </c>
      <c r="B7" s="1" t="s">
        <v>40</v>
      </c>
      <c r="C7" s="1" t="s">
        <v>78</v>
      </c>
      <c r="D7" s="5">
        <v>226</v>
      </c>
      <c r="E7" s="5">
        <v>8085324.3600000003</v>
      </c>
      <c r="F7" s="2">
        <v>1.0388115783644329</v>
      </c>
      <c r="G7" s="2">
        <v>0.8704171764359494</v>
      </c>
      <c r="H7" s="2">
        <v>0.85398230088495575</v>
      </c>
      <c r="K7" s="16">
        <v>45808</v>
      </c>
      <c r="L7" s="1" t="s">
        <v>45</v>
      </c>
      <c r="M7" s="2">
        <v>0.99096034038803305</v>
      </c>
      <c r="N7" s="2">
        <v>0.88113840928815901</v>
      </c>
      <c r="O7" s="2">
        <v>0.8130601792573624</v>
      </c>
      <c r="Q7" s="1" t="s">
        <v>97</v>
      </c>
      <c r="R7" s="1" t="s">
        <v>77</v>
      </c>
      <c r="S7" s="5">
        <v>61</v>
      </c>
      <c r="T7" s="5">
        <v>499151.52</v>
      </c>
      <c r="V7" s="1" t="s">
        <v>101</v>
      </c>
      <c r="W7" s="5">
        <v>20829.84</v>
      </c>
      <c r="X7" s="5">
        <v>239958.36</v>
      </c>
      <c r="Y7" s="5">
        <v>299074.44</v>
      </c>
      <c r="Z7" s="5">
        <v>559862.64</v>
      </c>
    </row>
    <row r="8" spans="1:26" x14ac:dyDescent="0.35">
      <c r="A8" s="16">
        <v>45688</v>
      </c>
      <c r="B8" s="1" t="s">
        <v>40</v>
      </c>
      <c r="C8" s="1" t="s">
        <v>77</v>
      </c>
      <c r="D8" s="5">
        <v>523</v>
      </c>
      <c r="E8" s="5">
        <v>3479717.88</v>
      </c>
      <c r="F8" s="2">
        <v>0.83188557803427454</v>
      </c>
      <c r="G8" s="2">
        <v>0.75402057594393257</v>
      </c>
      <c r="H8" s="2">
        <v>0.75717017208413007</v>
      </c>
      <c r="K8" s="16">
        <v>45838</v>
      </c>
      <c r="L8" s="1" t="s">
        <v>46</v>
      </c>
      <c r="M8" s="2">
        <v>0.99365193449215383</v>
      </c>
      <c r="N8" s="2">
        <v>0.88573922665764293</v>
      </c>
      <c r="O8" s="2">
        <v>0.81702668360864039</v>
      </c>
      <c r="Q8" s="1" t="s">
        <v>97</v>
      </c>
      <c r="R8" s="1" t="s">
        <v>78</v>
      </c>
      <c r="S8" s="5">
        <v>68</v>
      </c>
      <c r="T8" s="5">
        <v>3942065.52</v>
      </c>
    </row>
    <row r="9" spans="1:26" x14ac:dyDescent="0.35">
      <c r="A9" s="16">
        <v>45688</v>
      </c>
      <c r="B9" s="1" t="s">
        <v>40</v>
      </c>
      <c r="C9" s="1" t="s">
        <v>76</v>
      </c>
      <c r="D9" s="5">
        <v>791</v>
      </c>
      <c r="E9" s="5">
        <v>18907898.16</v>
      </c>
      <c r="F9" s="2">
        <v>0.981346125464852</v>
      </c>
      <c r="G9" s="2">
        <v>0.87250443494032437</v>
      </c>
      <c r="H9" s="2">
        <v>0.79393173198482936</v>
      </c>
      <c r="K9" s="16">
        <v>45869</v>
      </c>
      <c r="L9" s="1" t="s">
        <v>47</v>
      </c>
      <c r="M9" s="2">
        <v>0.99672188463912503</v>
      </c>
      <c r="N9" s="2">
        <v>0.88901256844552945</v>
      </c>
      <c r="O9" s="2">
        <v>0.82292993630573252</v>
      </c>
      <c r="Q9" s="1" t="s">
        <v>97</v>
      </c>
      <c r="R9" s="1" t="s">
        <v>79</v>
      </c>
      <c r="S9" s="5">
        <v>14</v>
      </c>
      <c r="T9" s="5">
        <v>3463115.76</v>
      </c>
    </row>
    <row r="10" spans="1:26" x14ac:dyDescent="0.35">
      <c r="A10" s="16">
        <v>45716</v>
      </c>
      <c r="B10" s="1" t="s">
        <v>42</v>
      </c>
      <c r="C10" s="1" t="s">
        <v>79</v>
      </c>
      <c r="D10" s="5">
        <v>43</v>
      </c>
      <c r="E10" s="5">
        <v>7484338.9199999999</v>
      </c>
      <c r="F10" s="2">
        <v>0.99788797378513161</v>
      </c>
      <c r="G10" s="2">
        <v>0.93225567609650695</v>
      </c>
      <c r="H10" s="2">
        <v>0.93023255813953476</v>
      </c>
      <c r="K10" s="16">
        <v>45900</v>
      </c>
      <c r="L10" s="1" t="s">
        <v>48</v>
      </c>
      <c r="M10" s="2">
        <v>1.006461373024454</v>
      </c>
      <c r="N10" s="2">
        <v>0.89881545651286943</v>
      </c>
      <c r="O10" s="2">
        <v>0.82420382165605099</v>
      </c>
      <c r="Q10" s="1" t="s">
        <v>98</v>
      </c>
      <c r="R10" s="1" t="s">
        <v>76</v>
      </c>
      <c r="S10" s="5">
        <v>137</v>
      </c>
      <c r="T10" s="5">
        <v>8379572.8799999999</v>
      </c>
    </row>
    <row r="11" spans="1:26" x14ac:dyDescent="0.35">
      <c r="A11" s="16">
        <v>45716</v>
      </c>
      <c r="B11" s="1" t="s">
        <v>42</v>
      </c>
      <c r="C11" s="1" t="s">
        <v>78</v>
      </c>
      <c r="D11" s="5">
        <v>228</v>
      </c>
      <c r="E11" s="5">
        <v>8305143.2400000002</v>
      </c>
      <c r="F11" s="2">
        <v>1.0507265712132381</v>
      </c>
      <c r="G11" s="2">
        <v>0.86024909547496253</v>
      </c>
      <c r="H11" s="2">
        <v>0.84649122807017541</v>
      </c>
      <c r="K11" s="16">
        <v>45930</v>
      </c>
      <c r="L11" s="1" t="s">
        <v>49</v>
      </c>
      <c r="M11" s="2">
        <v>1.003269008683046</v>
      </c>
      <c r="N11" s="2">
        <v>0.8963409004516194</v>
      </c>
      <c r="O11" s="2">
        <v>0.81658291457286436</v>
      </c>
      <c r="Q11" s="1" t="s">
        <v>98</v>
      </c>
      <c r="R11" s="1" t="s">
        <v>77</v>
      </c>
      <c r="S11" s="5">
        <v>54</v>
      </c>
      <c r="T11" s="5">
        <v>480256.56</v>
      </c>
    </row>
    <row r="12" spans="1:26" x14ac:dyDescent="0.35">
      <c r="A12" s="16">
        <v>45716</v>
      </c>
      <c r="B12" s="1" t="s">
        <v>42</v>
      </c>
      <c r="C12" s="1" t="s">
        <v>77</v>
      </c>
      <c r="D12" s="5">
        <v>520</v>
      </c>
      <c r="E12" s="5">
        <v>3506022.96</v>
      </c>
      <c r="F12" s="2">
        <v>0.83550893802475268</v>
      </c>
      <c r="G12" s="2">
        <v>0.7664576047157432</v>
      </c>
      <c r="H12" s="2">
        <v>0.76346153846153841</v>
      </c>
      <c r="K12" s="16">
        <v>45961</v>
      </c>
      <c r="L12" s="1" t="s">
        <v>50</v>
      </c>
      <c r="M12" s="2">
        <v>1.0136189521213179</v>
      </c>
      <c r="N12" s="2">
        <v>0.90138248255944775</v>
      </c>
      <c r="O12" s="2">
        <v>0.81569115815691162</v>
      </c>
      <c r="Q12" s="1" t="s">
        <v>98</v>
      </c>
      <c r="R12" s="1" t="s">
        <v>78</v>
      </c>
      <c r="S12" s="5">
        <v>70</v>
      </c>
      <c r="T12" s="5">
        <v>4137916.44</v>
      </c>
    </row>
    <row r="13" spans="1:26" x14ac:dyDescent="0.35">
      <c r="A13" s="16">
        <v>45716</v>
      </c>
      <c r="B13" s="1" t="s">
        <v>42</v>
      </c>
      <c r="C13" s="1" t="s">
        <v>76</v>
      </c>
      <c r="D13" s="5">
        <v>791</v>
      </c>
      <c r="E13" s="5">
        <v>19295505.120000001</v>
      </c>
      <c r="F13" s="2">
        <v>0.99112616544966603</v>
      </c>
      <c r="G13" s="2">
        <v>0.87113694383554952</v>
      </c>
      <c r="H13" s="2">
        <v>0.79646017699115046</v>
      </c>
      <c r="K13" s="16">
        <v>45991</v>
      </c>
      <c r="L13" s="1" t="s">
        <v>51</v>
      </c>
      <c r="M13" s="2">
        <v>0.99750061109359822</v>
      </c>
      <c r="N13" s="2">
        <v>0.88973727544804204</v>
      </c>
      <c r="O13" s="2">
        <v>0.82147315855181025</v>
      </c>
      <c r="Q13" s="1" t="s">
        <v>98</v>
      </c>
      <c r="R13" s="1" t="s">
        <v>79</v>
      </c>
      <c r="S13" s="5">
        <v>13</v>
      </c>
      <c r="T13" s="5">
        <v>3761399.88</v>
      </c>
    </row>
    <row r="14" spans="1:26" x14ac:dyDescent="0.35">
      <c r="A14" s="16">
        <v>45747</v>
      </c>
      <c r="B14" s="1" t="s">
        <v>43</v>
      </c>
      <c r="C14" s="1" t="s">
        <v>79</v>
      </c>
      <c r="D14" s="5">
        <v>43</v>
      </c>
      <c r="E14" s="5">
        <v>8094754.5599999996</v>
      </c>
      <c r="F14" s="2">
        <v>0.99656869645717838</v>
      </c>
      <c r="G14" s="2">
        <v>0.94616988115325884</v>
      </c>
      <c r="H14" s="2">
        <v>0.95348837209302317</v>
      </c>
      <c r="K14" s="16">
        <v>46022</v>
      </c>
      <c r="L14" s="1" t="s">
        <v>52</v>
      </c>
      <c r="M14" s="2">
        <v>1.0025108285104081</v>
      </c>
      <c r="N14" s="2">
        <v>0.89980363905946736</v>
      </c>
      <c r="O14" s="2">
        <v>0.82095006090133982</v>
      </c>
      <c r="Q14" s="1" t="s">
        <v>99</v>
      </c>
      <c r="R14" s="1" t="s">
        <v>76</v>
      </c>
      <c r="S14" s="5">
        <v>116</v>
      </c>
      <c r="T14" s="5">
        <v>4350177.84</v>
      </c>
    </row>
    <row r="15" spans="1:26" x14ac:dyDescent="0.35">
      <c r="A15" s="16">
        <v>45747</v>
      </c>
      <c r="B15" s="1" t="s">
        <v>43</v>
      </c>
      <c r="C15" s="1" t="s">
        <v>78</v>
      </c>
      <c r="D15" s="5">
        <v>229</v>
      </c>
      <c r="E15" s="5">
        <v>8376575.6399999997</v>
      </c>
      <c r="F15" s="2">
        <v>1.06982876835814</v>
      </c>
      <c r="G15" s="2">
        <v>0.86769637049442327</v>
      </c>
      <c r="H15" s="2">
        <v>0.86026200873362446</v>
      </c>
      <c r="K15" s="16">
        <v>46053</v>
      </c>
      <c r="L15" s="1" t="s">
        <v>53</v>
      </c>
      <c r="M15" s="2">
        <v>1.0111161649991609</v>
      </c>
      <c r="N15" s="2">
        <v>0.9094451207216272</v>
      </c>
      <c r="O15" s="2">
        <v>0.82129742962056307</v>
      </c>
      <c r="Q15" s="1" t="s">
        <v>99</v>
      </c>
      <c r="R15" s="1" t="s">
        <v>77</v>
      </c>
      <c r="S15" s="5">
        <v>60</v>
      </c>
      <c r="T15" s="5">
        <v>515040.36</v>
      </c>
    </row>
    <row r="16" spans="1:26" x14ac:dyDescent="0.35">
      <c r="A16" s="16">
        <v>45747</v>
      </c>
      <c r="B16" s="1" t="s">
        <v>43</v>
      </c>
      <c r="C16" s="1" t="s">
        <v>77</v>
      </c>
      <c r="D16" s="5">
        <v>522</v>
      </c>
      <c r="E16" s="5">
        <v>3577762.92</v>
      </c>
      <c r="F16" s="2">
        <v>0.82875744041754451</v>
      </c>
      <c r="G16" s="2">
        <v>0.76317986995068976</v>
      </c>
      <c r="H16" s="2">
        <v>0.76628352490421459</v>
      </c>
      <c r="K16" s="16">
        <v>46081</v>
      </c>
      <c r="L16" s="1" t="s">
        <v>54</v>
      </c>
      <c r="M16" s="2">
        <v>1.0053468819927831</v>
      </c>
      <c r="N16" s="2">
        <v>0.91351849751724756</v>
      </c>
      <c r="O16" s="2">
        <v>0.82661782661782657</v>
      </c>
      <c r="Q16" s="1" t="s">
        <v>99</v>
      </c>
      <c r="R16" s="1" t="s">
        <v>78</v>
      </c>
      <c r="S16" s="5">
        <v>52</v>
      </c>
      <c r="T16" s="5">
        <v>3068660.76</v>
      </c>
    </row>
    <row r="17" spans="1:20" x14ac:dyDescent="0.35">
      <c r="A17" s="16">
        <v>45747</v>
      </c>
      <c r="B17" s="1" t="s">
        <v>43</v>
      </c>
      <c r="C17" s="1" t="s">
        <v>76</v>
      </c>
      <c r="D17" s="5">
        <v>794</v>
      </c>
      <c r="E17" s="5">
        <v>20049093.120000001</v>
      </c>
      <c r="F17" s="2">
        <v>0.99723105281282642</v>
      </c>
      <c r="G17" s="2">
        <v>0.88072880774768914</v>
      </c>
      <c r="H17" s="2">
        <v>0.80352644836272036</v>
      </c>
      <c r="K17" s="16">
        <v>46112</v>
      </c>
      <c r="L17" s="1" t="s">
        <v>55</v>
      </c>
      <c r="M17" s="2">
        <v>0.99565965250964883</v>
      </c>
      <c r="N17" s="2">
        <v>0.91096219154782743</v>
      </c>
      <c r="O17" s="2">
        <v>0.82296650717703346</v>
      </c>
      <c r="Q17" s="1" t="s">
        <v>99</v>
      </c>
      <c r="R17" s="1" t="s">
        <v>79</v>
      </c>
      <c r="S17" s="5">
        <v>4</v>
      </c>
      <c r="T17" s="5">
        <v>766476.72</v>
      </c>
    </row>
    <row r="18" spans="1:20" x14ac:dyDescent="0.35">
      <c r="A18" s="16">
        <v>45777</v>
      </c>
      <c r="B18" s="1" t="s">
        <v>44</v>
      </c>
      <c r="C18" s="1" t="s">
        <v>79</v>
      </c>
      <c r="D18" s="5">
        <v>44</v>
      </c>
      <c r="E18" s="5">
        <v>8474733</v>
      </c>
      <c r="F18" s="2">
        <v>0.98690503169834376</v>
      </c>
      <c r="G18" s="2">
        <v>0.9363055048459934</v>
      </c>
      <c r="H18" s="2">
        <v>0.95454545454545459</v>
      </c>
      <c r="K18" s="16">
        <v>46142</v>
      </c>
      <c r="L18" s="1" t="s">
        <v>56</v>
      </c>
      <c r="M18" s="2">
        <v>0.98775324535057196</v>
      </c>
      <c r="N18" s="2">
        <v>0.90302314740294143</v>
      </c>
      <c r="O18" s="2">
        <v>0.82014388489208634</v>
      </c>
      <c r="Q18" s="1" t="s">
        <v>100</v>
      </c>
      <c r="R18" s="1" t="s">
        <v>76</v>
      </c>
      <c r="S18" s="5">
        <v>11</v>
      </c>
      <c r="T18" s="5">
        <v>890716.08</v>
      </c>
    </row>
    <row r="19" spans="1:20" x14ac:dyDescent="0.35">
      <c r="A19" s="16">
        <v>45777</v>
      </c>
      <c r="B19" s="1" t="s">
        <v>44</v>
      </c>
      <c r="C19" s="1" t="s">
        <v>78</v>
      </c>
      <c r="D19" s="5">
        <v>228</v>
      </c>
      <c r="E19" s="5">
        <v>8578316.4000000004</v>
      </c>
      <c r="F19" s="2">
        <v>1.068598145901916</v>
      </c>
      <c r="G19" s="2">
        <v>0.87918503448998453</v>
      </c>
      <c r="H19" s="2">
        <v>0.8728070175438597</v>
      </c>
      <c r="K19" s="16">
        <v>46173</v>
      </c>
      <c r="L19" s="1" t="s">
        <v>57</v>
      </c>
      <c r="M19" s="2">
        <v>1.022051628494163</v>
      </c>
      <c r="N19" s="2">
        <v>0.91141084715091081</v>
      </c>
      <c r="O19" s="2">
        <v>0.8335343787696019</v>
      </c>
      <c r="Q19" s="1" t="s">
        <v>100</v>
      </c>
      <c r="R19" s="1" t="s">
        <v>77</v>
      </c>
      <c r="S19" s="5">
        <v>2</v>
      </c>
      <c r="T19" s="5">
        <v>15480.24</v>
      </c>
    </row>
    <row r="20" spans="1:20" x14ac:dyDescent="0.35">
      <c r="A20" s="16">
        <v>45777</v>
      </c>
      <c r="B20" s="1" t="s">
        <v>44</v>
      </c>
      <c r="C20" s="1" t="s">
        <v>77</v>
      </c>
      <c r="D20" s="5">
        <v>510</v>
      </c>
      <c r="E20" s="5">
        <v>3487470.36</v>
      </c>
      <c r="F20" s="2">
        <v>0.85183289127652972</v>
      </c>
      <c r="G20" s="2">
        <v>0.77996492563738951</v>
      </c>
      <c r="H20" s="2">
        <v>0.78235294117647058</v>
      </c>
      <c r="K20" s="16">
        <v>46203</v>
      </c>
      <c r="L20" s="1" t="s">
        <v>58</v>
      </c>
      <c r="M20" s="2">
        <v>1.017911280975615</v>
      </c>
      <c r="N20" s="2">
        <v>0.89557676611119386</v>
      </c>
      <c r="O20" s="2">
        <v>0.83412887828162297</v>
      </c>
      <c r="Q20" s="1" t="s">
        <v>100</v>
      </c>
      <c r="R20" s="1" t="s">
        <v>78</v>
      </c>
      <c r="S20" s="5">
        <v>7</v>
      </c>
      <c r="T20" s="5">
        <v>450161.52</v>
      </c>
    </row>
    <row r="21" spans="1:20" x14ac:dyDescent="0.35">
      <c r="A21" s="16">
        <v>45777</v>
      </c>
      <c r="B21" s="1" t="s">
        <v>44</v>
      </c>
      <c r="C21" s="1" t="s">
        <v>76</v>
      </c>
      <c r="D21" s="5">
        <v>782</v>
      </c>
      <c r="E21" s="5">
        <v>20540519.760000002</v>
      </c>
      <c r="F21" s="2">
        <v>0.99808923238269598</v>
      </c>
      <c r="G21" s="2">
        <v>0.88590606920455062</v>
      </c>
      <c r="H21" s="2">
        <v>0.81841432225063937</v>
      </c>
      <c r="Q21" s="1" t="s">
        <v>100</v>
      </c>
      <c r="R21" s="1" t="s">
        <v>79</v>
      </c>
      <c r="S21" s="5">
        <v>2</v>
      </c>
      <c r="T21" s="5">
        <v>425074.32</v>
      </c>
    </row>
    <row r="22" spans="1:20" x14ac:dyDescent="0.35">
      <c r="A22" s="16">
        <v>45808</v>
      </c>
      <c r="B22" s="1" t="s">
        <v>45</v>
      </c>
      <c r="C22" s="1" t="s">
        <v>79</v>
      </c>
      <c r="D22" s="5">
        <v>45</v>
      </c>
      <c r="E22" s="5">
        <v>8723614.1999999993</v>
      </c>
      <c r="F22" s="2">
        <v>0.98211449103285664</v>
      </c>
      <c r="G22" s="2">
        <v>0.93031407097301477</v>
      </c>
      <c r="H22" s="2">
        <v>0.9555555555555556</v>
      </c>
      <c r="Q22" s="1" t="s">
        <v>101</v>
      </c>
      <c r="R22" s="1" t="s">
        <v>76</v>
      </c>
      <c r="S22" s="5">
        <v>8</v>
      </c>
      <c r="T22" s="5">
        <v>559862.64</v>
      </c>
    </row>
    <row r="23" spans="1:20" x14ac:dyDescent="0.35">
      <c r="A23" s="16">
        <v>45808</v>
      </c>
      <c r="B23" s="1" t="s">
        <v>45</v>
      </c>
      <c r="C23" s="1" t="s">
        <v>78</v>
      </c>
      <c r="D23" s="5">
        <v>228</v>
      </c>
      <c r="E23" s="5">
        <v>8712286.9199999999</v>
      </c>
      <c r="F23" s="2">
        <v>1.0617148683161139</v>
      </c>
      <c r="G23" s="2">
        <v>0.87811890382508195</v>
      </c>
      <c r="H23" s="2">
        <v>0.86842105263157898</v>
      </c>
      <c r="Q23" s="1" t="s">
        <v>101</v>
      </c>
      <c r="R23" s="1" t="s">
        <v>77</v>
      </c>
      <c r="S23" s="5">
        <v>1</v>
      </c>
      <c r="T23" s="5">
        <v>20829.84</v>
      </c>
    </row>
    <row r="24" spans="1:20" x14ac:dyDescent="0.35">
      <c r="A24" s="16">
        <v>45808</v>
      </c>
      <c r="B24" s="1" t="s">
        <v>45</v>
      </c>
      <c r="C24" s="1" t="s">
        <v>77</v>
      </c>
      <c r="D24" s="5">
        <v>508</v>
      </c>
      <c r="E24" s="5">
        <v>3528370.56</v>
      </c>
      <c r="F24" s="2">
        <v>0.83812322705696751</v>
      </c>
      <c r="G24" s="2">
        <v>0.76701130847208976</v>
      </c>
      <c r="H24" s="2">
        <v>0.77559055118110232</v>
      </c>
      <c r="Q24" s="1" t="s">
        <v>101</v>
      </c>
      <c r="R24" s="1" t="s">
        <v>78</v>
      </c>
      <c r="S24" s="5">
        <v>5</v>
      </c>
      <c r="T24" s="5">
        <v>239958.36</v>
      </c>
    </row>
    <row r="25" spans="1:20" x14ac:dyDescent="0.35">
      <c r="A25" s="16">
        <v>45808</v>
      </c>
      <c r="B25" s="1" t="s">
        <v>45</v>
      </c>
      <c r="C25" s="1" t="s">
        <v>76</v>
      </c>
      <c r="D25" s="5">
        <v>781</v>
      </c>
      <c r="E25" s="5">
        <v>20964271.68</v>
      </c>
      <c r="F25" s="2">
        <v>0.99096034038803305</v>
      </c>
      <c r="G25" s="2">
        <v>0.88113840928815901</v>
      </c>
      <c r="H25" s="2">
        <v>0.8130601792573624</v>
      </c>
      <c r="Q25" s="1" t="s">
        <v>101</v>
      </c>
      <c r="R25" s="1" t="s">
        <v>79</v>
      </c>
      <c r="S25" s="5">
        <v>2</v>
      </c>
      <c r="T25" s="5">
        <v>299074.44</v>
      </c>
    </row>
    <row r="26" spans="1:20" x14ac:dyDescent="0.35">
      <c r="A26" s="16">
        <v>45838</v>
      </c>
      <c r="B26" s="1" t="s">
        <v>46</v>
      </c>
      <c r="C26" s="1" t="s">
        <v>79</v>
      </c>
      <c r="D26" s="5">
        <v>46</v>
      </c>
      <c r="E26" s="5">
        <v>9125888.4000000004</v>
      </c>
      <c r="F26" s="2">
        <v>0.96764323350699755</v>
      </c>
      <c r="G26" s="2">
        <v>0.93236660224773282</v>
      </c>
      <c r="H26" s="2">
        <v>0.95652173913043481</v>
      </c>
    </row>
    <row r="27" spans="1:20" x14ac:dyDescent="0.35">
      <c r="A27" s="16">
        <v>45838</v>
      </c>
      <c r="B27" s="1" t="s">
        <v>46</v>
      </c>
      <c r="C27" s="1" t="s">
        <v>78</v>
      </c>
      <c r="D27" s="5">
        <v>231</v>
      </c>
      <c r="E27" s="5">
        <v>8815432.3200000003</v>
      </c>
      <c r="F27" s="2">
        <v>1.0825721908554109</v>
      </c>
      <c r="G27" s="2">
        <v>0.88545389002544117</v>
      </c>
      <c r="H27" s="2">
        <v>0.87445887445887449</v>
      </c>
    </row>
    <row r="28" spans="1:20" x14ac:dyDescent="0.35">
      <c r="A28" s="16">
        <v>45838</v>
      </c>
      <c r="B28" s="1" t="s">
        <v>46</v>
      </c>
      <c r="C28" s="1" t="s">
        <v>77</v>
      </c>
      <c r="D28" s="5">
        <v>510</v>
      </c>
      <c r="E28" s="5">
        <v>3603012.72</v>
      </c>
      <c r="F28" s="2">
        <v>0.84196831811351469</v>
      </c>
      <c r="G28" s="2">
        <v>0.76833723751050198</v>
      </c>
      <c r="H28" s="2">
        <v>0.77843137254901962</v>
      </c>
    </row>
    <row r="29" spans="1:20" x14ac:dyDescent="0.35">
      <c r="A29" s="16">
        <v>45838</v>
      </c>
      <c r="B29" s="1" t="s">
        <v>46</v>
      </c>
      <c r="C29" s="1" t="s">
        <v>76</v>
      </c>
      <c r="D29" s="5">
        <v>787</v>
      </c>
      <c r="E29" s="5">
        <v>21544333.440000001</v>
      </c>
      <c r="F29" s="2">
        <v>0.99365193449215383</v>
      </c>
      <c r="G29" s="2">
        <v>0.88573922665764293</v>
      </c>
      <c r="H29" s="2">
        <v>0.81702668360864039</v>
      </c>
    </row>
    <row r="30" spans="1:20" x14ac:dyDescent="0.35">
      <c r="A30" s="16">
        <v>45869</v>
      </c>
      <c r="B30" s="1" t="s">
        <v>47</v>
      </c>
      <c r="C30" s="1" t="s">
        <v>79</v>
      </c>
      <c r="D30" s="5">
        <v>46</v>
      </c>
      <c r="E30" s="5">
        <v>9146261.6400000006</v>
      </c>
      <c r="F30" s="2">
        <v>0.96759893258422036</v>
      </c>
      <c r="G30" s="2">
        <v>0.93251746513562439</v>
      </c>
      <c r="H30" s="2">
        <v>0.95652173913043481</v>
      </c>
    </row>
    <row r="31" spans="1:20" x14ac:dyDescent="0.35">
      <c r="A31" s="16">
        <v>45869</v>
      </c>
      <c r="B31" s="1" t="s">
        <v>47</v>
      </c>
      <c r="C31" s="1" t="s">
        <v>78</v>
      </c>
      <c r="D31" s="5">
        <v>233</v>
      </c>
      <c r="E31" s="5">
        <v>9240150.3599999994</v>
      </c>
      <c r="F31" s="2">
        <v>1.086140338521504</v>
      </c>
      <c r="G31" s="2">
        <v>0.89267735682171312</v>
      </c>
      <c r="H31" s="2">
        <v>0.87982832618025753</v>
      </c>
    </row>
    <row r="32" spans="1:20" x14ac:dyDescent="0.35">
      <c r="A32" s="16">
        <v>45869</v>
      </c>
      <c r="B32" s="1" t="s">
        <v>47</v>
      </c>
      <c r="C32" s="1" t="s">
        <v>77</v>
      </c>
      <c r="D32" s="5">
        <v>506</v>
      </c>
      <c r="E32" s="5">
        <v>3619488.36</v>
      </c>
      <c r="F32" s="2">
        <v>0.84203874605083684</v>
      </c>
      <c r="G32" s="2">
        <v>0.76972212724563094</v>
      </c>
      <c r="H32" s="2">
        <v>0.78458498023715417</v>
      </c>
    </row>
    <row r="33" spans="1:8" x14ac:dyDescent="0.35">
      <c r="A33" s="16">
        <v>45869</v>
      </c>
      <c r="B33" s="1" t="s">
        <v>47</v>
      </c>
      <c r="C33" s="1" t="s">
        <v>76</v>
      </c>
      <c r="D33" s="5">
        <v>785</v>
      </c>
      <c r="E33" s="5">
        <v>22005900.359999999</v>
      </c>
      <c r="F33" s="2">
        <v>0.99672188463912503</v>
      </c>
      <c r="G33" s="2">
        <v>0.88901256844552945</v>
      </c>
      <c r="H33" s="2">
        <v>0.82292993630573252</v>
      </c>
    </row>
    <row r="34" spans="1:8" x14ac:dyDescent="0.35">
      <c r="A34" s="16">
        <v>45900</v>
      </c>
      <c r="B34" s="1" t="s">
        <v>48</v>
      </c>
      <c r="C34" s="1" t="s">
        <v>79</v>
      </c>
      <c r="D34" s="5">
        <v>45</v>
      </c>
      <c r="E34" s="5">
        <v>8882611.3200000003</v>
      </c>
      <c r="F34" s="2">
        <v>1.0031746745392891</v>
      </c>
      <c r="G34" s="2">
        <v>0.96485638865035905</v>
      </c>
      <c r="H34" s="2">
        <v>0.97777777777777763</v>
      </c>
    </row>
    <row r="35" spans="1:8" x14ac:dyDescent="0.35">
      <c r="A35" s="16">
        <v>45900</v>
      </c>
      <c r="B35" s="1" t="s">
        <v>48</v>
      </c>
      <c r="C35" s="1" t="s">
        <v>78</v>
      </c>
      <c r="D35" s="5">
        <v>235</v>
      </c>
      <c r="E35" s="5">
        <v>9471129.5999999996</v>
      </c>
      <c r="F35" s="2">
        <v>1.0722527205202641</v>
      </c>
      <c r="G35" s="2">
        <v>0.88609778922252314</v>
      </c>
      <c r="H35" s="2">
        <v>0.87659574468085111</v>
      </c>
    </row>
    <row r="36" spans="1:8" x14ac:dyDescent="0.35">
      <c r="A36" s="16">
        <v>45900</v>
      </c>
      <c r="B36" s="1" t="s">
        <v>48</v>
      </c>
      <c r="C36" s="1" t="s">
        <v>77</v>
      </c>
      <c r="D36" s="5">
        <v>505</v>
      </c>
      <c r="E36" s="5">
        <v>3634669.2</v>
      </c>
      <c r="F36" s="2">
        <v>0.84305615487648777</v>
      </c>
      <c r="G36" s="2">
        <v>0.77056024795874134</v>
      </c>
      <c r="H36" s="2">
        <v>0.78613861386138617</v>
      </c>
    </row>
    <row r="37" spans="1:8" x14ac:dyDescent="0.35">
      <c r="A37" s="16">
        <v>45900</v>
      </c>
      <c r="B37" s="1" t="s">
        <v>48</v>
      </c>
      <c r="C37" s="1" t="s">
        <v>76</v>
      </c>
      <c r="D37" s="5">
        <v>785</v>
      </c>
      <c r="E37" s="5">
        <v>21988410.120000001</v>
      </c>
      <c r="F37" s="2">
        <v>1.006461373024454</v>
      </c>
      <c r="G37" s="2">
        <v>0.89881545651286943</v>
      </c>
      <c r="H37" s="2">
        <v>0.82420382165605099</v>
      </c>
    </row>
    <row r="38" spans="1:8" x14ac:dyDescent="0.35">
      <c r="A38" s="16">
        <v>45930</v>
      </c>
      <c r="B38" s="1" t="s">
        <v>49</v>
      </c>
      <c r="C38" s="1" t="s">
        <v>79</v>
      </c>
      <c r="D38" s="5">
        <v>46</v>
      </c>
      <c r="E38" s="5">
        <v>9078607.1999999993</v>
      </c>
      <c r="F38" s="2">
        <v>1.0022313246463621</v>
      </c>
      <c r="G38" s="2">
        <v>0.96561509567238479</v>
      </c>
      <c r="H38" s="2">
        <v>0.97826086956521741</v>
      </c>
    </row>
    <row r="39" spans="1:8" x14ac:dyDescent="0.35">
      <c r="A39" s="16">
        <v>45930</v>
      </c>
      <c r="B39" s="1" t="s">
        <v>49</v>
      </c>
      <c r="C39" s="1" t="s">
        <v>78</v>
      </c>
      <c r="D39" s="5">
        <v>239</v>
      </c>
      <c r="E39" s="5">
        <v>9644138.2799999993</v>
      </c>
      <c r="F39" s="2">
        <v>1.0658798392923921</v>
      </c>
      <c r="G39" s="2">
        <v>0.88112865175549937</v>
      </c>
      <c r="H39" s="2">
        <v>0.86610878661087864</v>
      </c>
    </row>
    <row r="40" spans="1:8" x14ac:dyDescent="0.35">
      <c r="A40" s="16">
        <v>45930</v>
      </c>
      <c r="B40" s="1" t="s">
        <v>49</v>
      </c>
      <c r="C40" s="1" t="s">
        <v>77</v>
      </c>
      <c r="D40" s="5">
        <v>511</v>
      </c>
      <c r="E40" s="5">
        <v>3680927.04</v>
      </c>
      <c r="F40" s="2">
        <v>0.84178610614352201</v>
      </c>
      <c r="G40" s="2">
        <v>0.76534015735340399</v>
      </c>
      <c r="H40" s="2">
        <v>0.77886497064579252</v>
      </c>
    </row>
    <row r="41" spans="1:8" x14ac:dyDescent="0.35">
      <c r="A41" s="16">
        <v>45930</v>
      </c>
      <c r="B41" s="1" t="s">
        <v>49</v>
      </c>
      <c r="C41" s="1" t="s">
        <v>76</v>
      </c>
      <c r="D41" s="5">
        <v>796</v>
      </c>
      <c r="E41" s="5">
        <v>22403672.52</v>
      </c>
      <c r="F41" s="2">
        <v>1.003269008683046</v>
      </c>
      <c r="G41" s="2">
        <v>0.8963409004516194</v>
      </c>
      <c r="H41" s="2">
        <v>0.81658291457286436</v>
      </c>
    </row>
    <row r="42" spans="1:8" x14ac:dyDescent="0.35">
      <c r="A42" s="16">
        <v>45961</v>
      </c>
      <c r="B42" s="1" t="s">
        <v>50</v>
      </c>
      <c r="C42" s="1" t="s">
        <v>79</v>
      </c>
      <c r="D42" s="5">
        <v>46</v>
      </c>
      <c r="E42" s="5">
        <v>9233107.9199999999</v>
      </c>
      <c r="F42" s="2">
        <v>1.0124675332507109</v>
      </c>
      <c r="G42" s="2">
        <v>0.97904365445779395</v>
      </c>
      <c r="H42" s="2">
        <v>1</v>
      </c>
    </row>
    <row r="43" spans="1:8" x14ac:dyDescent="0.35">
      <c r="A43" s="16">
        <v>45961</v>
      </c>
      <c r="B43" s="1" t="s">
        <v>50</v>
      </c>
      <c r="C43" s="1" t="s">
        <v>78</v>
      </c>
      <c r="D43" s="5">
        <v>240</v>
      </c>
      <c r="E43" s="5">
        <v>9775622.8800000008</v>
      </c>
      <c r="F43" s="2">
        <v>1.0742675826299879</v>
      </c>
      <c r="G43" s="2">
        <v>0.87605126191201832</v>
      </c>
      <c r="H43" s="2">
        <v>0.86250000000000004</v>
      </c>
    </row>
    <row r="44" spans="1:8" x14ac:dyDescent="0.35">
      <c r="A44" s="16">
        <v>45961</v>
      </c>
      <c r="B44" s="1" t="s">
        <v>50</v>
      </c>
      <c r="C44" s="1" t="s">
        <v>77</v>
      </c>
      <c r="D44" s="5">
        <v>517</v>
      </c>
      <c r="E44" s="5">
        <v>3746993.52</v>
      </c>
      <c r="F44" s="2">
        <v>0.85822851382993592</v>
      </c>
      <c r="G44" s="2">
        <v>0.77610190262618861</v>
      </c>
      <c r="H44" s="2">
        <v>0.77756286266924568</v>
      </c>
    </row>
    <row r="45" spans="1:8" x14ac:dyDescent="0.35">
      <c r="A45" s="16">
        <v>45961</v>
      </c>
      <c r="B45" s="1" t="s">
        <v>50</v>
      </c>
      <c r="C45" s="1" t="s">
        <v>76</v>
      </c>
      <c r="D45" s="5">
        <v>803</v>
      </c>
      <c r="E45" s="5">
        <v>22755724.32</v>
      </c>
      <c r="F45" s="2">
        <v>1.0136189521213179</v>
      </c>
      <c r="G45" s="2">
        <v>0.90138248255944775</v>
      </c>
      <c r="H45" s="2">
        <v>0.81569115815691162</v>
      </c>
    </row>
    <row r="46" spans="1:8" x14ac:dyDescent="0.35">
      <c r="A46" s="16">
        <v>45991</v>
      </c>
      <c r="B46" s="1" t="s">
        <v>51</v>
      </c>
      <c r="C46" s="1" t="s">
        <v>79</v>
      </c>
      <c r="D46" s="5">
        <v>47</v>
      </c>
      <c r="E46" s="5">
        <v>9447702.1199999992</v>
      </c>
      <c r="F46" s="2">
        <v>0.99043695082122241</v>
      </c>
      <c r="G46" s="2">
        <v>0.94966763410191002</v>
      </c>
      <c r="H46" s="2">
        <v>0.97872340425531923</v>
      </c>
    </row>
    <row r="47" spans="1:8" x14ac:dyDescent="0.35">
      <c r="A47" s="16">
        <v>45991</v>
      </c>
      <c r="B47" s="1" t="s">
        <v>51</v>
      </c>
      <c r="C47" s="1" t="s">
        <v>78</v>
      </c>
      <c r="D47" s="5">
        <v>240</v>
      </c>
      <c r="E47" s="5">
        <v>10047234.84</v>
      </c>
      <c r="F47" s="2">
        <v>1.0556701708387659</v>
      </c>
      <c r="G47" s="2">
        <v>0.87506885028677206</v>
      </c>
      <c r="H47" s="2">
        <v>0.875</v>
      </c>
    </row>
    <row r="48" spans="1:8" x14ac:dyDescent="0.35">
      <c r="A48" s="16">
        <v>45991</v>
      </c>
      <c r="B48" s="1" t="s">
        <v>51</v>
      </c>
      <c r="C48" s="1" t="s">
        <v>77</v>
      </c>
      <c r="D48" s="5">
        <v>514</v>
      </c>
      <c r="E48" s="5">
        <v>3811640.04</v>
      </c>
      <c r="F48" s="2">
        <v>0.86167774646422279</v>
      </c>
      <c r="G48" s="2">
        <v>0.77985621118619586</v>
      </c>
      <c r="H48" s="2">
        <v>0.78210116731517509</v>
      </c>
    </row>
    <row r="49" spans="1:8" x14ac:dyDescent="0.35">
      <c r="A49" s="16">
        <v>45991</v>
      </c>
      <c r="B49" s="1" t="s">
        <v>51</v>
      </c>
      <c r="C49" s="1" t="s">
        <v>76</v>
      </c>
      <c r="D49" s="5">
        <v>801</v>
      </c>
      <c r="E49" s="5">
        <v>23306577</v>
      </c>
      <c r="F49" s="2">
        <v>0.99750061109359822</v>
      </c>
      <c r="G49" s="2">
        <v>0.88973727544804204</v>
      </c>
      <c r="H49" s="2">
        <v>0.82147315855181025</v>
      </c>
    </row>
    <row r="50" spans="1:8" x14ac:dyDescent="0.35">
      <c r="A50" s="16">
        <v>46022</v>
      </c>
      <c r="B50" s="1" t="s">
        <v>52</v>
      </c>
      <c r="C50" s="1" t="s">
        <v>79</v>
      </c>
      <c r="D50" s="5">
        <v>49</v>
      </c>
      <c r="E50" s="5">
        <v>10080994.560000001</v>
      </c>
      <c r="F50" s="2">
        <v>1.00160499640226</v>
      </c>
      <c r="G50" s="2">
        <v>0.95889448431564284</v>
      </c>
      <c r="H50" s="2">
        <v>0.97959183673469397</v>
      </c>
    </row>
    <row r="51" spans="1:8" x14ac:dyDescent="0.35">
      <c r="A51" s="16">
        <v>46022</v>
      </c>
      <c r="B51" s="1" t="s">
        <v>52</v>
      </c>
      <c r="C51" s="1" t="s">
        <v>78</v>
      </c>
      <c r="D51" s="5">
        <v>244</v>
      </c>
      <c r="E51" s="5">
        <v>10460274.720000001</v>
      </c>
      <c r="F51" s="2">
        <v>1.0644693163469801</v>
      </c>
      <c r="G51" s="2">
        <v>0.89478660269832755</v>
      </c>
      <c r="H51" s="2">
        <v>0.88524590163934425</v>
      </c>
    </row>
    <row r="52" spans="1:8" x14ac:dyDescent="0.35">
      <c r="A52" s="16">
        <v>46022</v>
      </c>
      <c r="B52" s="1" t="s">
        <v>52</v>
      </c>
      <c r="C52" s="1" t="s">
        <v>77</v>
      </c>
      <c r="D52" s="5">
        <v>528</v>
      </c>
      <c r="E52" s="5">
        <v>3953928.12</v>
      </c>
      <c r="F52" s="2">
        <v>0.84090669812176555</v>
      </c>
      <c r="G52" s="2">
        <v>0.7624175019145264</v>
      </c>
      <c r="H52" s="2">
        <v>0.77651515151515149</v>
      </c>
    </row>
    <row r="53" spans="1:8" x14ac:dyDescent="0.35">
      <c r="A53" s="16">
        <v>46022</v>
      </c>
      <c r="B53" s="1" t="s">
        <v>52</v>
      </c>
      <c r="C53" s="1" t="s">
        <v>76</v>
      </c>
      <c r="D53" s="5">
        <v>821</v>
      </c>
      <c r="E53" s="5">
        <v>24495197.399999999</v>
      </c>
      <c r="F53" s="2">
        <v>1.0025108285104081</v>
      </c>
      <c r="G53" s="2">
        <v>0.89980363905946736</v>
      </c>
      <c r="H53" s="2">
        <v>0.82095006090133982</v>
      </c>
    </row>
    <row r="54" spans="1:8" x14ac:dyDescent="0.35">
      <c r="A54" s="16">
        <v>46053</v>
      </c>
      <c r="B54" s="1" t="s">
        <v>53</v>
      </c>
      <c r="C54" s="1" t="s">
        <v>79</v>
      </c>
      <c r="D54" s="5">
        <v>50</v>
      </c>
      <c r="E54" s="5">
        <v>10416275.279999999</v>
      </c>
      <c r="F54" s="2">
        <v>1.001626627517471</v>
      </c>
      <c r="G54" s="2">
        <v>0.96296895102795321</v>
      </c>
      <c r="H54" s="2">
        <v>0.98</v>
      </c>
    </row>
    <row r="55" spans="1:8" x14ac:dyDescent="0.35">
      <c r="A55" s="16">
        <v>46053</v>
      </c>
      <c r="B55" s="1" t="s">
        <v>53</v>
      </c>
      <c r="C55" s="1" t="s">
        <v>78</v>
      </c>
      <c r="D55" s="5">
        <v>240</v>
      </c>
      <c r="E55" s="5">
        <v>10294069.68</v>
      </c>
      <c r="F55" s="2">
        <v>1.0903325185185651</v>
      </c>
      <c r="G55" s="2">
        <v>0.91628734729916861</v>
      </c>
      <c r="H55" s="2">
        <v>0.90833333333333321</v>
      </c>
    </row>
    <row r="56" spans="1:8" x14ac:dyDescent="0.35">
      <c r="A56" s="16">
        <v>46053</v>
      </c>
      <c r="B56" s="1" t="s">
        <v>53</v>
      </c>
      <c r="C56" s="1" t="s">
        <v>77</v>
      </c>
      <c r="D56" s="5">
        <v>527</v>
      </c>
      <c r="E56" s="5">
        <v>3972433.68</v>
      </c>
      <c r="F56" s="2">
        <v>0.83071969120954581</v>
      </c>
      <c r="G56" s="2">
        <v>0.75136738846701145</v>
      </c>
      <c r="H56" s="2">
        <v>0.76660341555977229</v>
      </c>
    </row>
    <row r="57" spans="1:8" x14ac:dyDescent="0.35">
      <c r="A57" s="16">
        <v>46053</v>
      </c>
      <c r="B57" s="1" t="s">
        <v>53</v>
      </c>
      <c r="C57" s="1" t="s">
        <v>76</v>
      </c>
      <c r="D57" s="5">
        <v>817</v>
      </c>
      <c r="E57" s="5">
        <v>24682778.640000001</v>
      </c>
      <c r="F57" s="2">
        <v>1.0111161649991609</v>
      </c>
      <c r="G57" s="2">
        <v>0.9094451207216272</v>
      </c>
      <c r="H57" s="2">
        <v>0.82129742962056307</v>
      </c>
    </row>
    <row r="58" spans="1:8" x14ac:dyDescent="0.35">
      <c r="A58" s="16">
        <v>46081</v>
      </c>
      <c r="B58" s="1" t="s">
        <v>54</v>
      </c>
      <c r="C58" s="1" t="s">
        <v>79</v>
      </c>
      <c r="D58" s="5">
        <v>51</v>
      </c>
      <c r="E58" s="5">
        <v>10580143.439999999</v>
      </c>
      <c r="F58" s="2">
        <v>1.003412297782609</v>
      </c>
      <c r="G58" s="2">
        <v>0.96942196466100083</v>
      </c>
      <c r="H58" s="2">
        <v>0.98039215686274517</v>
      </c>
    </row>
    <row r="59" spans="1:8" x14ac:dyDescent="0.35">
      <c r="A59" s="16">
        <v>46081</v>
      </c>
      <c r="B59" s="1" t="s">
        <v>54</v>
      </c>
      <c r="C59" s="1" t="s">
        <v>78</v>
      </c>
      <c r="D59" s="5">
        <v>241</v>
      </c>
      <c r="E59" s="5">
        <v>10615613.279999999</v>
      </c>
      <c r="F59" s="2">
        <v>1.0708617335766399</v>
      </c>
      <c r="G59" s="2">
        <v>0.91807680469686437</v>
      </c>
      <c r="H59" s="2">
        <v>0.92116182572614103</v>
      </c>
    </row>
    <row r="60" spans="1:8" x14ac:dyDescent="0.35">
      <c r="A60" s="16">
        <v>46081</v>
      </c>
      <c r="B60" s="1" t="s">
        <v>54</v>
      </c>
      <c r="C60" s="1" t="s">
        <v>77</v>
      </c>
      <c r="D60" s="5">
        <v>527</v>
      </c>
      <c r="E60" s="5">
        <v>4036578.72</v>
      </c>
      <c r="F60" s="2">
        <v>0.83812305288078215</v>
      </c>
      <c r="G60" s="2">
        <v>0.75500407929614211</v>
      </c>
      <c r="H60" s="2">
        <v>0.76850094876660346</v>
      </c>
    </row>
    <row r="61" spans="1:8" x14ac:dyDescent="0.35">
      <c r="A61" s="16">
        <v>46081</v>
      </c>
      <c r="B61" s="1" t="s">
        <v>54</v>
      </c>
      <c r="C61" s="1" t="s">
        <v>76</v>
      </c>
      <c r="D61" s="5">
        <v>819</v>
      </c>
      <c r="E61" s="5">
        <v>25232335.440000001</v>
      </c>
      <c r="F61" s="2">
        <v>1.0053468819927831</v>
      </c>
      <c r="G61" s="2">
        <v>0.91351849751724756</v>
      </c>
      <c r="H61" s="2">
        <v>0.82661782661782657</v>
      </c>
    </row>
    <row r="62" spans="1:8" x14ac:dyDescent="0.35">
      <c r="A62" s="16">
        <v>46112</v>
      </c>
      <c r="B62" s="1" t="s">
        <v>55</v>
      </c>
      <c r="C62" s="1" t="s">
        <v>79</v>
      </c>
      <c r="D62" s="5">
        <v>52</v>
      </c>
      <c r="E62" s="5">
        <v>10649007.6</v>
      </c>
      <c r="F62" s="2">
        <v>1.007287563584798</v>
      </c>
      <c r="G62" s="2">
        <v>0.96961970428117639</v>
      </c>
      <c r="H62" s="2">
        <v>0.98076923076923084</v>
      </c>
    </row>
    <row r="63" spans="1:8" x14ac:dyDescent="0.35">
      <c r="A63" s="16">
        <v>46112</v>
      </c>
      <c r="B63" s="1" t="s">
        <v>55</v>
      </c>
      <c r="C63" s="1" t="s">
        <v>78</v>
      </c>
      <c r="D63" s="5">
        <v>245</v>
      </c>
      <c r="E63" s="5">
        <v>11018997.960000001</v>
      </c>
      <c r="F63" s="2">
        <v>1.0449733162488031</v>
      </c>
      <c r="G63" s="2">
        <v>0.91446637131422059</v>
      </c>
      <c r="H63" s="2">
        <v>0.91428571428571437</v>
      </c>
    </row>
    <row r="64" spans="1:8" x14ac:dyDescent="0.35">
      <c r="A64" s="16">
        <v>46112</v>
      </c>
      <c r="B64" s="1" t="s">
        <v>55</v>
      </c>
      <c r="C64" s="1" t="s">
        <v>77</v>
      </c>
      <c r="D64" s="5">
        <v>539</v>
      </c>
      <c r="E64" s="5">
        <v>4146323.88</v>
      </c>
      <c r="F64" s="2">
        <v>0.83474292413452278</v>
      </c>
      <c r="G64" s="2">
        <v>0.75099956735651818</v>
      </c>
      <c r="H64" s="2">
        <v>0.76623376623376627</v>
      </c>
    </row>
    <row r="65" spans="1:8" x14ac:dyDescent="0.35">
      <c r="A65" s="16">
        <v>46112</v>
      </c>
      <c r="B65" s="1" t="s">
        <v>55</v>
      </c>
      <c r="C65" s="1" t="s">
        <v>76</v>
      </c>
      <c r="D65" s="5">
        <v>836</v>
      </c>
      <c r="E65" s="5">
        <v>25814329.440000001</v>
      </c>
      <c r="F65" s="2">
        <v>0.99565965250964883</v>
      </c>
      <c r="G65" s="2">
        <v>0.91096219154782743</v>
      </c>
      <c r="H65" s="2">
        <v>0.82296650717703346</v>
      </c>
    </row>
    <row r="66" spans="1:8" x14ac:dyDescent="0.35">
      <c r="A66" s="16">
        <v>46142</v>
      </c>
      <c r="B66" s="1" t="s">
        <v>56</v>
      </c>
      <c r="C66" s="1" t="s">
        <v>79</v>
      </c>
      <c r="D66" s="5">
        <v>52</v>
      </c>
      <c r="E66" s="5">
        <v>10845873.24</v>
      </c>
      <c r="F66" s="2">
        <v>0.99293982159798877</v>
      </c>
      <c r="G66" s="2">
        <v>0.95877429598282859</v>
      </c>
      <c r="H66" s="2">
        <v>0.98076923076923084</v>
      </c>
    </row>
    <row r="67" spans="1:8" x14ac:dyDescent="0.35">
      <c r="A67" s="16">
        <v>46142</v>
      </c>
      <c r="B67" s="1" t="s">
        <v>56</v>
      </c>
      <c r="C67" s="1" t="s">
        <v>78</v>
      </c>
      <c r="D67" s="5">
        <v>248</v>
      </c>
      <c r="E67" s="5">
        <v>11405864.52</v>
      </c>
      <c r="F67" s="2">
        <v>1.040040675496293</v>
      </c>
      <c r="G67" s="2">
        <v>0.90425227670510677</v>
      </c>
      <c r="H67" s="2">
        <v>0.89919354838709675</v>
      </c>
    </row>
    <row r="68" spans="1:8" x14ac:dyDescent="0.35">
      <c r="A68" s="16">
        <v>46142</v>
      </c>
      <c r="B68" s="1" t="s">
        <v>56</v>
      </c>
      <c r="C68" s="1" t="s">
        <v>77</v>
      </c>
      <c r="D68" s="5">
        <v>534</v>
      </c>
      <c r="E68" s="5">
        <v>4177912.32</v>
      </c>
      <c r="F68" s="2">
        <v>0.83154214208114363</v>
      </c>
      <c r="G68" s="2">
        <v>0.75493742290886567</v>
      </c>
      <c r="H68" s="2">
        <v>0.76779026217228463</v>
      </c>
    </row>
    <row r="69" spans="1:8" x14ac:dyDescent="0.35">
      <c r="A69" s="16">
        <v>46142</v>
      </c>
      <c r="B69" s="1" t="s">
        <v>56</v>
      </c>
      <c r="C69" s="1" t="s">
        <v>76</v>
      </c>
      <c r="D69" s="5">
        <v>834</v>
      </c>
      <c r="E69" s="5">
        <v>26429650.079999998</v>
      </c>
      <c r="F69" s="2">
        <v>0.98775324535057196</v>
      </c>
      <c r="G69" s="2">
        <v>0.90302314740294143</v>
      </c>
      <c r="H69" s="2">
        <v>0.82014388489208634</v>
      </c>
    </row>
    <row r="70" spans="1:8" x14ac:dyDescent="0.35">
      <c r="A70" s="16">
        <v>46173</v>
      </c>
      <c r="B70" s="1" t="s">
        <v>57</v>
      </c>
      <c r="C70" s="1" t="s">
        <v>79</v>
      </c>
      <c r="D70" s="5">
        <v>52</v>
      </c>
      <c r="E70" s="5">
        <v>10868942.640000001</v>
      </c>
      <c r="F70" s="2">
        <v>1.0311191264139381</v>
      </c>
      <c r="G70" s="2">
        <v>0.97133279930530558</v>
      </c>
      <c r="H70" s="2">
        <v>0.98076923076923084</v>
      </c>
    </row>
    <row r="71" spans="1:8" x14ac:dyDescent="0.35">
      <c r="A71" s="16">
        <v>46173</v>
      </c>
      <c r="B71" s="1" t="s">
        <v>57</v>
      </c>
      <c r="C71" s="1" t="s">
        <v>78</v>
      </c>
      <c r="D71" s="5">
        <v>248</v>
      </c>
      <c r="E71" s="5">
        <v>11559016.08</v>
      </c>
      <c r="F71" s="2">
        <v>1.0777103824220999</v>
      </c>
      <c r="G71" s="2">
        <v>0.90772537103348339</v>
      </c>
      <c r="H71" s="2">
        <v>0.91129032258064524</v>
      </c>
    </row>
    <row r="72" spans="1:8" x14ac:dyDescent="0.35">
      <c r="A72" s="16">
        <v>46173</v>
      </c>
      <c r="B72" s="1" t="s">
        <v>57</v>
      </c>
      <c r="C72" s="1" t="s">
        <v>77</v>
      </c>
      <c r="D72" s="5">
        <v>529</v>
      </c>
      <c r="E72" s="5">
        <v>4163171.28</v>
      </c>
      <c r="F72" s="2">
        <v>0.84384263911428603</v>
      </c>
      <c r="G72" s="2">
        <v>0.76520312659343681</v>
      </c>
      <c r="H72" s="2">
        <v>0.78260869565217395</v>
      </c>
    </row>
    <row r="73" spans="1:8" x14ac:dyDescent="0.35">
      <c r="A73" s="16">
        <v>46173</v>
      </c>
      <c r="B73" s="1" t="s">
        <v>57</v>
      </c>
      <c r="C73" s="1" t="s">
        <v>76</v>
      </c>
      <c r="D73" s="5">
        <v>829</v>
      </c>
      <c r="E73" s="5">
        <v>26591130</v>
      </c>
      <c r="F73" s="2">
        <v>1.022051628494163</v>
      </c>
      <c r="G73" s="2">
        <v>0.91141084715091081</v>
      </c>
      <c r="H73" s="2">
        <v>0.8335343787696019</v>
      </c>
    </row>
    <row r="74" spans="1:8" x14ac:dyDescent="0.35">
      <c r="A74" s="16">
        <v>46203</v>
      </c>
      <c r="B74" s="1" t="s">
        <v>58</v>
      </c>
      <c r="C74" s="1" t="s">
        <v>79</v>
      </c>
      <c r="D74" s="5">
        <v>53</v>
      </c>
      <c r="E74" s="5">
        <v>10936915.92</v>
      </c>
      <c r="F74" s="2">
        <v>1.0033919214768909</v>
      </c>
      <c r="G74" s="2">
        <v>0.93507056969310598</v>
      </c>
      <c r="H74" s="2">
        <v>0.96226415094339623</v>
      </c>
    </row>
    <row r="75" spans="1:8" x14ac:dyDescent="0.35">
      <c r="A75" s="16">
        <v>46203</v>
      </c>
      <c r="B75" s="1" t="s">
        <v>58</v>
      </c>
      <c r="C75" s="1" t="s">
        <v>78</v>
      </c>
      <c r="D75" s="5">
        <v>251</v>
      </c>
      <c r="E75" s="5">
        <v>11906832.48</v>
      </c>
      <c r="F75" s="2">
        <v>1.0930263831174689</v>
      </c>
      <c r="G75" s="2">
        <v>0.90562573195789198</v>
      </c>
      <c r="H75" s="2">
        <v>0.9083665338645418</v>
      </c>
    </row>
    <row r="76" spans="1:8" x14ac:dyDescent="0.35">
      <c r="A76" s="16">
        <v>46203</v>
      </c>
      <c r="B76" s="1" t="s">
        <v>58</v>
      </c>
      <c r="C76" s="1" t="s">
        <v>77</v>
      </c>
      <c r="D76" s="5">
        <v>534</v>
      </c>
      <c r="E76" s="5">
        <v>4294022.5199999996</v>
      </c>
      <c r="F76" s="2">
        <v>0.84660665449886841</v>
      </c>
      <c r="G76" s="2">
        <v>0.76712104434887785</v>
      </c>
      <c r="H76" s="2">
        <v>0.7865168539325843</v>
      </c>
    </row>
    <row r="77" spans="1:8" x14ac:dyDescent="0.35">
      <c r="A77" s="16">
        <v>46203</v>
      </c>
      <c r="B77" s="1" t="s">
        <v>58</v>
      </c>
      <c r="C77" s="1" t="s">
        <v>76</v>
      </c>
      <c r="D77" s="5">
        <v>838</v>
      </c>
      <c r="E77" s="5">
        <v>27137770.920000002</v>
      </c>
      <c r="F77" s="2">
        <v>1.017911280975615</v>
      </c>
      <c r="G77" s="2">
        <v>0.89557676611119386</v>
      </c>
      <c r="H77" s="2">
        <v>0.83412887828162297</v>
      </c>
    </row>
  </sheetData>
  <pageMargins left="0.75" right="0.75" top="1" bottom="1" header="0.5" footer="0.5"/>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J19"/>
  <sheetViews>
    <sheetView workbookViewId="0">
      <pane ySplit="1" topLeftCell="A2" activePane="bottomLeft" state="frozen"/>
      <selection pane="bottomLeft"/>
    </sheetView>
  </sheetViews>
  <sheetFormatPr defaultRowHeight="14.5" x14ac:dyDescent="0.35"/>
  <cols>
    <col min="1" max="1" width="12" customWidth="1"/>
    <col min="2" max="3" width="23" customWidth="1"/>
    <col min="4" max="5" width="30" customWidth="1"/>
    <col min="6" max="6" width="31" customWidth="1"/>
    <col min="7" max="7" width="32" customWidth="1"/>
    <col min="8" max="8" width="19" customWidth="1"/>
    <col min="10" max="10" width="12" customWidth="1"/>
    <col min="11" max="12" width="29" customWidth="1"/>
    <col min="13" max="13" width="31" customWidth="1"/>
    <col min="14" max="14" width="30" customWidth="1"/>
    <col min="15" max="15" width="21" customWidth="1"/>
    <col min="16" max="17" width="28" customWidth="1"/>
    <col min="18" max="18" width="31" customWidth="1"/>
    <col min="19" max="19" width="23" customWidth="1"/>
    <col min="20" max="20" width="21" customWidth="1"/>
    <col min="21" max="21" width="25" customWidth="1"/>
    <col min="24" max="24" width="18" customWidth="1"/>
    <col min="25" max="25" width="15" customWidth="1"/>
    <col min="26" max="26" width="12" customWidth="1"/>
    <col min="27" max="27" width="24" customWidth="1"/>
    <col min="28" max="28" width="20" customWidth="1"/>
    <col min="29" max="29" width="21" customWidth="1"/>
    <col min="30" max="30" width="31" customWidth="1"/>
    <col min="31" max="31" width="28" customWidth="1"/>
    <col min="32" max="32" width="22" customWidth="1"/>
    <col min="34" max="34" width="12" customWidth="1"/>
    <col min="35" max="35" width="14" customWidth="1"/>
    <col min="36" max="36" width="15" customWidth="1"/>
    <col min="37" max="37" width="12" customWidth="1"/>
    <col min="38" max="38" width="32" customWidth="1"/>
    <col min="39" max="39" width="27" customWidth="1"/>
    <col min="40" max="40" width="25" customWidth="1"/>
    <col min="42" max="42" width="12" customWidth="1"/>
    <col min="43" max="43" width="13" customWidth="1"/>
    <col min="44" max="44" width="16" customWidth="1"/>
    <col min="45" max="45" width="25" customWidth="1"/>
    <col min="46" max="46" width="20" customWidth="1"/>
    <col min="47" max="47" width="17" customWidth="1"/>
    <col min="48" max="48" width="12" customWidth="1"/>
    <col min="49" max="49" width="31" customWidth="1"/>
    <col min="50" max="50" width="22" customWidth="1"/>
    <col min="52" max="52" width="18" customWidth="1"/>
    <col min="53" max="53" width="15" customWidth="1"/>
    <col min="54" max="54" width="20" customWidth="1"/>
    <col min="55" max="55" width="28" customWidth="1"/>
    <col min="56" max="56" width="16" customWidth="1"/>
    <col min="58" max="58" width="26" customWidth="1"/>
    <col min="59" max="59" width="13" customWidth="1"/>
    <col min="60" max="60" width="17" customWidth="1"/>
    <col min="61" max="61" width="18" customWidth="1"/>
    <col min="62" max="62" width="16" customWidth="1"/>
  </cols>
  <sheetData>
    <row r="1" spans="1:62" x14ac:dyDescent="0.35">
      <c r="A1" s="15" t="s">
        <v>545</v>
      </c>
      <c r="B1" s="14" t="s">
        <v>568</v>
      </c>
      <c r="C1" s="14" t="s">
        <v>569</v>
      </c>
      <c r="D1" s="14" t="s">
        <v>570</v>
      </c>
      <c r="E1" s="14" t="s">
        <v>571</v>
      </c>
      <c r="F1" s="14" t="s">
        <v>572</v>
      </c>
      <c r="G1" s="14" t="s">
        <v>573</v>
      </c>
      <c r="H1" s="14" t="s">
        <v>574</v>
      </c>
      <c r="J1" s="14" t="s">
        <v>545</v>
      </c>
      <c r="K1" s="14" t="s">
        <v>575</v>
      </c>
      <c r="L1" s="14" t="s">
        <v>576</v>
      </c>
      <c r="M1" s="14" t="s">
        <v>577</v>
      </c>
      <c r="N1" s="14" t="s">
        <v>578</v>
      </c>
      <c r="O1" s="14" t="s">
        <v>579</v>
      </c>
      <c r="P1" s="14" t="s">
        <v>580</v>
      </c>
      <c r="Q1" s="14" t="s">
        <v>581</v>
      </c>
      <c r="R1" s="14" t="s">
        <v>582</v>
      </c>
      <c r="S1" s="14" t="s">
        <v>583</v>
      </c>
      <c r="T1" s="14" t="s">
        <v>584</v>
      </c>
      <c r="U1" s="14" t="s">
        <v>585</v>
      </c>
      <c r="X1" s="14" t="s">
        <v>543</v>
      </c>
      <c r="Y1" s="14" t="s">
        <v>544</v>
      </c>
      <c r="Z1" s="14" t="s">
        <v>545</v>
      </c>
      <c r="AA1" s="14" t="s">
        <v>586</v>
      </c>
      <c r="AB1" s="14" t="s">
        <v>587</v>
      </c>
      <c r="AC1" s="14" t="s">
        <v>588</v>
      </c>
      <c r="AD1" s="14" t="s">
        <v>589</v>
      </c>
      <c r="AE1" s="14" t="s">
        <v>590</v>
      </c>
      <c r="AF1" s="14" t="s">
        <v>591</v>
      </c>
      <c r="AH1" s="14" t="s">
        <v>545</v>
      </c>
      <c r="AI1" s="14" t="s">
        <v>592</v>
      </c>
      <c r="AJ1" s="14" t="s">
        <v>593</v>
      </c>
      <c r="AK1" s="14" t="s">
        <v>594</v>
      </c>
      <c r="AL1" s="14" t="s">
        <v>595</v>
      </c>
      <c r="AM1" s="14" t="s">
        <v>596</v>
      </c>
      <c r="AN1" s="14" t="s">
        <v>597</v>
      </c>
      <c r="AP1" s="14" t="s">
        <v>545</v>
      </c>
      <c r="AQ1" s="14" t="s">
        <v>598</v>
      </c>
      <c r="AR1" s="14" t="s">
        <v>548</v>
      </c>
      <c r="AS1" s="14" t="s">
        <v>599</v>
      </c>
      <c r="AT1" s="14" t="s">
        <v>600</v>
      </c>
      <c r="AU1" s="14" t="s">
        <v>601</v>
      </c>
      <c r="AV1" s="14" t="s">
        <v>602</v>
      </c>
      <c r="AW1" s="14" t="s">
        <v>603</v>
      </c>
      <c r="AX1" s="14" t="s">
        <v>604</v>
      </c>
      <c r="AZ1" s="14" t="s">
        <v>605</v>
      </c>
      <c r="BA1" s="14" t="s">
        <v>553</v>
      </c>
      <c r="BB1" s="14" t="s">
        <v>606</v>
      </c>
      <c r="BC1" s="14" t="s">
        <v>607</v>
      </c>
      <c r="BD1" s="14" t="s">
        <v>608</v>
      </c>
      <c r="BF1" s="14" t="s">
        <v>609</v>
      </c>
      <c r="BG1" s="14" t="s">
        <v>610</v>
      </c>
      <c r="BH1" s="14" t="s">
        <v>611</v>
      </c>
      <c r="BI1" s="14" t="s">
        <v>612</v>
      </c>
      <c r="BJ1" s="14" t="s">
        <v>613</v>
      </c>
    </row>
    <row r="2" spans="1:62" x14ac:dyDescent="0.35">
      <c r="A2" s="1" t="s">
        <v>77</v>
      </c>
      <c r="B2" s="5">
        <v>5</v>
      </c>
      <c r="C2" s="2">
        <v>0.47052666608506</v>
      </c>
      <c r="D2" s="2">
        <v>0.86800895532713762</v>
      </c>
      <c r="E2" s="5">
        <v>291666.66666666669</v>
      </c>
      <c r="F2" s="5">
        <v>137236.94427480921</v>
      </c>
      <c r="G2" s="5">
        <v>119122.89663226571</v>
      </c>
      <c r="H2" s="5">
        <v>73488.649999999994</v>
      </c>
      <c r="J2" s="1" t="s">
        <v>77</v>
      </c>
      <c r="K2" s="5">
        <v>714807.53045252606</v>
      </c>
      <c r="L2" s="5">
        <v>386188.83559110289</v>
      </c>
      <c r="M2" s="5">
        <v>366168.10929849331</v>
      </c>
      <c r="N2" s="1" t="s">
        <v>614</v>
      </c>
      <c r="O2" s="5">
        <v>6</v>
      </c>
      <c r="P2" s="5">
        <v>4</v>
      </c>
      <c r="Q2" s="5">
        <v>2</v>
      </c>
      <c r="R2" s="2">
        <v>0.66666666666666663</v>
      </c>
      <c r="S2" s="5">
        <v>1829782.4475185401</v>
      </c>
      <c r="T2" s="5">
        <v>853380.70929849334</v>
      </c>
      <c r="U2" s="5">
        <v>-976401.73822004639</v>
      </c>
      <c r="X2" s="16">
        <v>46234</v>
      </c>
      <c r="Y2" s="1" t="s">
        <v>59</v>
      </c>
      <c r="Z2" s="1" t="s">
        <v>77</v>
      </c>
      <c r="AA2" s="5">
        <v>284439.19549356209</v>
      </c>
      <c r="AB2" s="5">
        <v>133836.22635950241</v>
      </c>
      <c r="AC2" s="5">
        <v>116171.043027238</v>
      </c>
      <c r="AD2" s="5">
        <v>135724.894606947</v>
      </c>
      <c r="AE2" s="5">
        <v>116171.043027238</v>
      </c>
      <c r="AF2" s="1" t="s">
        <v>615</v>
      </c>
      <c r="AH2" s="1" t="s">
        <v>77</v>
      </c>
      <c r="AI2" s="5">
        <v>379</v>
      </c>
      <c r="AJ2" s="5">
        <v>975</v>
      </c>
      <c r="AK2" s="2">
        <v>0.27991137370753322</v>
      </c>
      <c r="AL2" s="6">
        <v>3.5725593667546169</v>
      </c>
      <c r="AM2" s="7">
        <v>26</v>
      </c>
      <c r="AN2" s="7">
        <v>29.751978891820581</v>
      </c>
      <c r="AP2" s="1" t="s">
        <v>77</v>
      </c>
      <c r="AQ2" s="5">
        <v>178</v>
      </c>
      <c r="AR2" s="5">
        <v>1613700.84</v>
      </c>
      <c r="AS2" s="5">
        <v>2900389.320757376</v>
      </c>
      <c r="AT2" s="2">
        <v>0.76406229984723906</v>
      </c>
      <c r="AU2" s="5">
        <v>9065.7350561797757</v>
      </c>
      <c r="AV2" s="5">
        <v>16294.32202672683</v>
      </c>
      <c r="AW2" s="6">
        <v>1.860651573885129</v>
      </c>
      <c r="AX2" s="11">
        <v>28.228366472331281</v>
      </c>
      <c r="AZ2" s="1" t="s">
        <v>358</v>
      </c>
      <c r="BA2" s="5">
        <v>1495240.32</v>
      </c>
      <c r="BB2" s="5">
        <v>2979231.67</v>
      </c>
      <c r="BC2" s="8">
        <v>0.50188789782836862</v>
      </c>
      <c r="BD2" s="8">
        <v>1.422220877505642</v>
      </c>
      <c r="BF2" s="1" t="s">
        <v>366</v>
      </c>
      <c r="BG2" s="1" t="s">
        <v>35</v>
      </c>
      <c r="BH2" s="5">
        <v>4</v>
      </c>
      <c r="BI2" s="5">
        <v>11583.56</v>
      </c>
      <c r="BJ2" s="5">
        <v>5574.5529999999999</v>
      </c>
    </row>
    <row r="3" spans="1:62" x14ac:dyDescent="0.35">
      <c r="A3" s="1" t="s">
        <v>78</v>
      </c>
      <c r="B3" s="5">
        <v>7</v>
      </c>
      <c r="C3" s="2">
        <v>0.77125772863636388</v>
      </c>
      <c r="D3" s="2">
        <v>0.41477828018968371</v>
      </c>
      <c r="E3" s="5">
        <v>562500</v>
      </c>
      <c r="F3" s="5">
        <v>433832.47235795471</v>
      </c>
      <c r="G3" s="5">
        <v>179944.28677507091</v>
      </c>
      <c r="H3" s="5">
        <v>340773.66</v>
      </c>
      <c r="J3" s="1" t="s">
        <v>78</v>
      </c>
      <c r="K3" s="5">
        <v>1159750.8519158859</v>
      </c>
      <c r="L3" s="5">
        <v>534297.93248792272</v>
      </c>
      <c r="M3" s="5">
        <v>517792.04364095401</v>
      </c>
      <c r="N3" s="1" t="s">
        <v>614</v>
      </c>
      <c r="O3" s="5">
        <v>6</v>
      </c>
      <c r="P3" s="5">
        <v>5</v>
      </c>
      <c r="Q3" s="5">
        <v>1</v>
      </c>
      <c r="R3" s="2">
        <v>0.83333333333333337</v>
      </c>
      <c r="S3" s="5">
        <v>2525822.075571598</v>
      </c>
      <c r="T3" s="5">
        <v>1335241.5236409539</v>
      </c>
      <c r="U3" s="5">
        <v>-1190580.5519306441</v>
      </c>
      <c r="X3" s="16">
        <v>46265</v>
      </c>
      <c r="Y3" s="1" t="s">
        <v>61</v>
      </c>
      <c r="Z3" s="1" t="s">
        <v>77</v>
      </c>
      <c r="AA3" s="5">
        <v>277390.82034179941</v>
      </c>
      <c r="AB3" s="5">
        <v>130519.7778980267</v>
      </c>
      <c r="AC3" s="5">
        <v>113292.3360627962</v>
      </c>
      <c r="AD3" s="5">
        <v>3638.936946983546</v>
      </c>
      <c r="AE3" s="5">
        <v>3638.936946983546</v>
      </c>
      <c r="AF3" s="1" t="s">
        <v>614</v>
      </c>
      <c r="AH3" s="1" t="s">
        <v>78</v>
      </c>
      <c r="AI3" s="5">
        <v>105</v>
      </c>
      <c r="AJ3" s="5">
        <v>395</v>
      </c>
      <c r="AK3" s="2">
        <v>0.21</v>
      </c>
      <c r="AL3" s="6">
        <v>4.7619047619047619</v>
      </c>
      <c r="AM3" s="7">
        <v>58</v>
      </c>
      <c r="AN3" s="7">
        <v>71.552380952380958</v>
      </c>
      <c r="AP3" s="1" t="s">
        <v>78</v>
      </c>
      <c r="AQ3" s="5">
        <v>47</v>
      </c>
      <c r="AR3" s="5">
        <v>2227544.16</v>
      </c>
      <c r="AS3" s="5">
        <v>3355113.468499599</v>
      </c>
      <c r="AT3" s="2">
        <v>0.76406229984723906</v>
      </c>
      <c r="AU3" s="5">
        <v>47394.556595744682</v>
      </c>
      <c r="AV3" s="5">
        <v>71385.392946799984</v>
      </c>
      <c r="AW3" s="6">
        <v>1.5452257211305209</v>
      </c>
      <c r="AX3" s="11">
        <v>23.6555671360674</v>
      </c>
      <c r="AZ3" s="1" t="s">
        <v>359</v>
      </c>
      <c r="BA3" s="5">
        <v>859339.08</v>
      </c>
      <c r="BB3" s="5">
        <v>3219278.39</v>
      </c>
      <c r="BC3" s="8">
        <v>0.26693531154974143</v>
      </c>
      <c r="BD3" s="8">
        <v>0.44262941795474853</v>
      </c>
      <c r="BF3" s="1" t="s">
        <v>366</v>
      </c>
      <c r="BG3" s="1" t="s">
        <v>34</v>
      </c>
      <c r="BH3" s="5">
        <v>12</v>
      </c>
      <c r="BI3" s="5">
        <v>970581.62000000011</v>
      </c>
      <c r="BJ3" s="5">
        <v>251268.34150000001</v>
      </c>
    </row>
    <row r="4" spans="1:62" x14ac:dyDescent="0.35">
      <c r="A4" s="1" t="s">
        <v>79</v>
      </c>
      <c r="B4" s="5">
        <v>4</v>
      </c>
      <c r="C4" s="2">
        <v>0.57213968485714284</v>
      </c>
      <c r="D4" s="2">
        <v>0.57376366701134907</v>
      </c>
      <c r="E4" s="5">
        <v>390833.33333333337</v>
      </c>
      <c r="F4" s="5">
        <v>223611.26016500001</v>
      </c>
      <c r="G4" s="5">
        <v>128300.0166172992</v>
      </c>
      <c r="H4" s="5">
        <v>480972.18</v>
      </c>
      <c r="J4" s="1" t="s">
        <v>79</v>
      </c>
      <c r="K4" s="5">
        <v>1046300.3998817489</v>
      </c>
      <c r="L4" s="5">
        <v>298807.88062499999</v>
      </c>
      <c r="M4" s="5">
        <v>298807.88062499999</v>
      </c>
      <c r="N4" s="1" t="s">
        <v>614</v>
      </c>
      <c r="O4" s="5">
        <v>6</v>
      </c>
      <c r="P4" s="5">
        <v>6</v>
      </c>
      <c r="Q4" s="5">
        <v>0</v>
      </c>
      <c r="R4" s="2">
        <v>1</v>
      </c>
      <c r="S4" s="5">
        <v>1644395.4769098631</v>
      </c>
      <c r="T4" s="5">
        <v>1017691.280625</v>
      </c>
      <c r="U4" s="5">
        <v>-626704.19628486258</v>
      </c>
      <c r="X4" s="16">
        <v>46295</v>
      </c>
      <c r="Y4" s="1" t="s">
        <v>63</v>
      </c>
      <c r="Z4" s="1" t="s">
        <v>77</v>
      </c>
      <c r="AA4" s="5">
        <v>285100.4365630041</v>
      </c>
      <c r="AB4" s="5">
        <v>134147.35791538551</v>
      </c>
      <c r="AC4" s="5">
        <v>116441.1080040293</v>
      </c>
      <c r="AD4" s="5">
        <v>0</v>
      </c>
      <c r="AE4" s="5">
        <v>0</v>
      </c>
      <c r="AF4" s="1" t="s">
        <v>614</v>
      </c>
      <c r="AH4" s="1" t="s">
        <v>79</v>
      </c>
      <c r="AI4" s="5">
        <v>20</v>
      </c>
      <c r="AJ4" s="5">
        <v>105</v>
      </c>
      <c r="AK4" s="2">
        <v>0.16</v>
      </c>
      <c r="AL4" s="6">
        <v>6.25</v>
      </c>
      <c r="AM4" s="7">
        <v>113.5</v>
      </c>
      <c r="AN4" s="7">
        <v>118.85</v>
      </c>
      <c r="AP4" s="1" t="s">
        <v>79</v>
      </c>
      <c r="AQ4" s="5">
        <v>7</v>
      </c>
      <c r="AR4" s="5">
        <v>1450206.48</v>
      </c>
      <c r="AS4" s="5">
        <v>2174566.5156856342</v>
      </c>
      <c r="AT4" s="2">
        <v>0.76406229984723906</v>
      </c>
      <c r="AU4" s="5">
        <v>207172.3542857143</v>
      </c>
      <c r="AV4" s="5">
        <v>310652.35938366188</v>
      </c>
      <c r="AW4" s="6">
        <v>1.546407122351029</v>
      </c>
      <c r="AX4" s="11">
        <v>23.55023958508562</v>
      </c>
      <c r="AZ4" s="1" t="s">
        <v>360</v>
      </c>
      <c r="BA4" s="5">
        <v>2091524.88</v>
      </c>
      <c r="BB4" s="5">
        <v>3263899.53</v>
      </c>
      <c r="BC4" s="8">
        <v>0.64080553361886117</v>
      </c>
      <c r="BD4" s="8">
        <v>0.2854476344742144</v>
      </c>
      <c r="BF4" s="1" t="s">
        <v>366</v>
      </c>
      <c r="BG4" s="1" t="s">
        <v>616</v>
      </c>
      <c r="BH4" s="5">
        <v>3</v>
      </c>
      <c r="BI4" s="5">
        <v>57658.22</v>
      </c>
      <c r="BJ4" s="5">
        <v>11290.173500000001</v>
      </c>
    </row>
    <row r="5" spans="1:62" x14ac:dyDescent="0.35">
      <c r="A5" s="1" t="s">
        <v>76</v>
      </c>
      <c r="B5" s="5">
        <v>16</v>
      </c>
      <c r="C5" s="2"/>
      <c r="D5" s="2"/>
      <c r="E5" s="5">
        <v>1245000</v>
      </c>
      <c r="F5" s="5">
        <v>794680.67679776379</v>
      </c>
      <c r="G5" s="5">
        <v>427367.20002463588</v>
      </c>
      <c r="H5" s="5">
        <v>895234.49</v>
      </c>
      <c r="J5" s="1" t="s">
        <v>76</v>
      </c>
      <c r="K5" s="5">
        <v>2920858.7822501608</v>
      </c>
      <c r="L5" s="5">
        <v>1219294.6487040259</v>
      </c>
      <c r="M5" s="5">
        <v>1182768.033564447</v>
      </c>
      <c r="N5" s="1" t="s">
        <v>614</v>
      </c>
      <c r="O5" s="5">
        <v>18</v>
      </c>
      <c r="P5" s="5">
        <v>15</v>
      </c>
      <c r="Q5" s="5">
        <v>3</v>
      </c>
      <c r="R5" s="2">
        <v>0.83333333333333337</v>
      </c>
      <c r="S5" s="5">
        <v>6000000</v>
      </c>
      <c r="T5" s="5">
        <v>3206313.5135644479</v>
      </c>
      <c r="U5" s="5">
        <v>-2793686.4864355521</v>
      </c>
      <c r="X5" s="16">
        <v>46326</v>
      </c>
      <c r="Y5" s="1" t="s">
        <v>64</v>
      </c>
      <c r="Z5" s="1" t="s">
        <v>77</v>
      </c>
      <c r="AA5" s="5">
        <v>292980.38281488308</v>
      </c>
      <c r="AB5" s="5">
        <v>137855.0827542115</v>
      </c>
      <c r="AC5" s="5">
        <v>119659.4463680192</v>
      </c>
      <c r="AD5" s="5">
        <v>0</v>
      </c>
      <c r="AE5" s="5">
        <v>0</v>
      </c>
      <c r="AF5" s="1" t="s">
        <v>614</v>
      </c>
      <c r="AH5" s="1" t="s">
        <v>76</v>
      </c>
      <c r="AI5" s="5">
        <v>504</v>
      </c>
      <c r="AJ5" s="5">
        <v>1475</v>
      </c>
      <c r="AK5" s="2">
        <v>0.25467407781707929</v>
      </c>
      <c r="AL5" s="6">
        <v>3.926587301587301</v>
      </c>
      <c r="AM5" s="7">
        <v>31</v>
      </c>
      <c r="AN5" s="7">
        <v>41.996031746031747</v>
      </c>
      <c r="AP5" s="1" t="s">
        <v>143</v>
      </c>
      <c r="AQ5" s="5">
        <v>232</v>
      </c>
      <c r="AR5" s="5">
        <v>5291451.4800000004</v>
      </c>
      <c r="AS5" s="5">
        <v>8430069.3049426079</v>
      </c>
      <c r="AT5" s="2">
        <v>0.76406229984723906</v>
      </c>
      <c r="AU5" s="5">
        <v>22807.98051724138</v>
      </c>
      <c r="AV5" s="5">
        <v>36336.505624752623</v>
      </c>
      <c r="AW5" s="6">
        <v>1.6417429510784161</v>
      </c>
      <c r="AX5" s="11">
        <v>25.021238438249341</v>
      </c>
      <c r="AZ5" s="1" t="s">
        <v>361</v>
      </c>
      <c r="BA5" s="5">
        <v>1319132.04</v>
      </c>
      <c r="BB5" s="5">
        <v>3375347.06</v>
      </c>
      <c r="BC5" s="8">
        <v>0.39081374938670749</v>
      </c>
      <c r="BD5" s="8">
        <v>0.56003342068178308</v>
      </c>
      <c r="BF5" s="1" t="s">
        <v>96</v>
      </c>
      <c r="BG5" s="1" t="s">
        <v>35</v>
      </c>
      <c r="BH5" s="5">
        <v>34</v>
      </c>
      <c r="BI5" s="5">
        <v>622543.04999999993</v>
      </c>
      <c r="BJ5" s="5">
        <v>207136.62849999999</v>
      </c>
    </row>
    <row r="6" spans="1:62" x14ac:dyDescent="0.35">
      <c r="X6" s="16">
        <v>46356</v>
      </c>
      <c r="Y6" s="1" t="s">
        <v>65</v>
      </c>
      <c r="Z6" s="1" t="s">
        <v>77</v>
      </c>
      <c r="AA6" s="5">
        <v>301026.43833611067</v>
      </c>
      <c r="AB6" s="5">
        <v>141640.96643375009</v>
      </c>
      <c r="AC6" s="5">
        <v>122945.6273056855</v>
      </c>
      <c r="AD6" s="5">
        <v>123412.50201858619</v>
      </c>
      <c r="AE6" s="5">
        <v>122945.6273056855</v>
      </c>
      <c r="AF6" s="1" t="s">
        <v>615</v>
      </c>
      <c r="AZ6" s="1" t="s">
        <v>362</v>
      </c>
      <c r="BA6" s="5">
        <v>1323441.48</v>
      </c>
      <c r="BB6" s="5">
        <v>3410032.14</v>
      </c>
      <c r="BC6" s="8">
        <v>0.38810234791511378</v>
      </c>
      <c r="BD6" s="8">
        <v>0.45746701965102299</v>
      </c>
      <c r="BF6" s="1" t="s">
        <v>96</v>
      </c>
      <c r="BG6" s="1" t="s">
        <v>34</v>
      </c>
      <c r="BH6" s="5">
        <v>86</v>
      </c>
      <c r="BI6" s="5">
        <v>2886552.89</v>
      </c>
      <c r="BJ6" s="5">
        <v>987046.929</v>
      </c>
    </row>
    <row r="7" spans="1:62" x14ac:dyDescent="0.35">
      <c r="X7" s="16">
        <v>46387</v>
      </c>
      <c r="Y7" s="1" t="s">
        <v>66</v>
      </c>
      <c r="Z7" s="1" t="s">
        <v>77</v>
      </c>
      <c r="AA7" s="5">
        <v>309234.48695540993</v>
      </c>
      <c r="AB7" s="5">
        <v>145503.072185653</v>
      </c>
      <c r="AC7" s="5">
        <v>126297.9696847577</v>
      </c>
      <c r="AD7" s="5">
        <v>123412.50201858619</v>
      </c>
      <c r="AE7" s="5">
        <v>123412.50201858619</v>
      </c>
      <c r="AF7" s="1" t="s">
        <v>614</v>
      </c>
      <c r="AZ7" s="1" t="s">
        <v>363</v>
      </c>
      <c r="BA7" s="5">
        <v>980600.4</v>
      </c>
      <c r="BB7" s="5">
        <v>3567989.63</v>
      </c>
      <c r="BC7" s="8">
        <v>0.2748327494438374</v>
      </c>
      <c r="BD7" s="8">
        <v>0.3395122759927976</v>
      </c>
      <c r="BF7" s="1" t="s">
        <v>96</v>
      </c>
      <c r="BG7" s="1" t="s">
        <v>616</v>
      </c>
      <c r="BH7" s="5">
        <v>12</v>
      </c>
      <c r="BI7" s="5">
        <v>48981.29</v>
      </c>
      <c r="BJ7" s="5">
        <v>14146.092500000001</v>
      </c>
    </row>
    <row r="8" spans="1:62" x14ac:dyDescent="0.35">
      <c r="X8" s="16">
        <v>46234</v>
      </c>
      <c r="Y8" s="1" t="s">
        <v>59</v>
      </c>
      <c r="Z8" s="1" t="s">
        <v>78</v>
      </c>
      <c r="AA8" s="5">
        <v>568878.39098712406</v>
      </c>
      <c r="AB8" s="5">
        <v>438751.85570303857</v>
      </c>
      <c r="AC8" s="5">
        <v>181984.74013853859</v>
      </c>
      <c r="AD8" s="5">
        <v>198490.62898550721</v>
      </c>
      <c r="AE8" s="5">
        <v>181984.74013853859</v>
      </c>
      <c r="AF8" s="1" t="s">
        <v>615</v>
      </c>
      <c r="AZ8" s="1" t="s">
        <v>364</v>
      </c>
      <c r="BA8" s="5">
        <v>2070944.52</v>
      </c>
      <c r="BB8" s="5">
        <v>3491615.59</v>
      </c>
      <c r="BC8" s="8">
        <v>0.59311927863170077</v>
      </c>
      <c r="BD8" s="8">
        <v>0.35164929481827628</v>
      </c>
      <c r="BF8" s="1" t="s">
        <v>97</v>
      </c>
      <c r="BG8" s="1" t="s">
        <v>34</v>
      </c>
      <c r="BH8" s="5">
        <v>2</v>
      </c>
      <c r="BI8" s="5">
        <v>63251.740000000013</v>
      </c>
      <c r="BJ8" s="5">
        <v>18910.253499999999</v>
      </c>
    </row>
    <row r="9" spans="1:62" x14ac:dyDescent="0.35">
      <c r="X9" s="16">
        <v>46265</v>
      </c>
      <c r="Y9" s="1" t="s">
        <v>61</v>
      </c>
      <c r="Z9" s="1" t="s">
        <v>78</v>
      </c>
      <c r="AA9" s="5">
        <v>554781.64068359882</v>
      </c>
      <c r="AB9" s="5">
        <v>427879.62808278779</v>
      </c>
      <c r="AC9" s="5">
        <v>177475.17626438019</v>
      </c>
      <c r="AD9" s="5">
        <v>29156.927681159421</v>
      </c>
      <c r="AE9" s="5">
        <v>29156.927681159421</v>
      </c>
      <c r="AF9" s="1" t="s">
        <v>614</v>
      </c>
      <c r="AZ9" s="1" t="s">
        <v>365</v>
      </c>
      <c r="BA9" s="5">
        <v>648113.52</v>
      </c>
      <c r="BB9" s="5">
        <v>3675562.72</v>
      </c>
      <c r="BC9" s="8">
        <v>0.1763304205022517</v>
      </c>
      <c r="BD9" s="8">
        <v>0.4418127845196993</v>
      </c>
    </row>
    <row r="10" spans="1:62" x14ac:dyDescent="0.35">
      <c r="X10" s="16">
        <v>46295</v>
      </c>
      <c r="Y10" s="1" t="s">
        <v>63</v>
      </c>
      <c r="Z10" s="1" t="s">
        <v>78</v>
      </c>
      <c r="AA10" s="5">
        <v>582700.87312600808</v>
      </c>
      <c r="AB10" s="5">
        <v>449412.55188159097</v>
      </c>
      <c r="AC10" s="5">
        <v>186406.56536510331</v>
      </c>
      <c r="AD10" s="5">
        <v>10415.98618357488</v>
      </c>
      <c r="AE10" s="5">
        <v>10415.98618357488</v>
      </c>
      <c r="AF10" s="1" t="s">
        <v>614</v>
      </c>
      <c r="AZ10" s="1" t="s">
        <v>366</v>
      </c>
      <c r="BA10" s="5">
        <v>2179290.96</v>
      </c>
      <c r="BB10" s="5">
        <v>3406792.18</v>
      </c>
      <c r="BC10" s="8">
        <v>0.63969002065749714</v>
      </c>
      <c r="BD10" s="8">
        <v>0.34277260786714608</v>
      </c>
    </row>
    <row r="11" spans="1:62" x14ac:dyDescent="0.35">
      <c r="X11" s="16">
        <v>46326</v>
      </c>
      <c r="Y11" s="1" t="s">
        <v>64</v>
      </c>
      <c r="Z11" s="1" t="s">
        <v>78</v>
      </c>
      <c r="AA11" s="5">
        <v>610960.76562976616</v>
      </c>
      <c r="AB11" s="5">
        <v>471208.21238554729</v>
      </c>
      <c r="AC11" s="5">
        <v>195446.93194453249</v>
      </c>
      <c r="AD11" s="5">
        <v>11305.866570048311</v>
      </c>
      <c r="AE11" s="5">
        <v>11305.866570048311</v>
      </c>
      <c r="AF11" s="1" t="s">
        <v>614</v>
      </c>
    </row>
    <row r="12" spans="1:62" x14ac:dyDescent="0.35">
      <c r="X12" s="16">
        <v>46356</v>
      </c>
      <c r="Y12" s="1" t="s">
        <v>65</v>
      </c>
      <c r="Z12" s="1" t="s">
        <v>78</v>
      </c>
      <c r="AA12" s="5">
        <v>639552.87667222111</v>
      </c>
      <c r="AB12" s="5">
        <v>493260.09900506982</v>
      </c>
      <c r="AC12" s="5">
        <v>204593.575551516</v>
      </c>
      <c r="AD12" s="5">
        <v>142464.2615338164</v>
      </c>
      <c r="AE12" s="5">
        <v>142464.2615338164</v>
      </c>
      <c r="AF12" s="1" t="s">
        <v>614</v>
      </c>
    </row>
    <row r="13" spans="1:62" x14ac:dyDescent="0.35">
      <c r="X13" s="16">
        <v>46387</v>
      </c>
      <c r="Y13" s="1" t="s">
        <v>66</v>
      </c>
      <c r="Z13" s="1" t="s">
        <v>78</v>
      </c>
      <c r="AA13" s="5">
        <v>668468.97391081986</v>
      </c>
      <c r="AB13" s="5">
        <v>515561.86248233973</v>
      </c>
      <c r="AC13" s="5">
        <v>213843.86265181511</v>
      </c>
      <c r="AD13" s="5">
        <v>142464.2615338164</v>
      </c>
      <c r="AE13" s="5">
        <v>142464.2615338164</v>
      </c>
      <c r="AF13" s="1" t="s">
        <v>614</v>
      </c>
    </row>
    <row r="14" spans="1:62" x14ac:dyDescent="0.35">
      <c r="X14" s="16">
        <v>46234</v>
      </c>
      <c r="Y14" s="1" t="s">
        <v>59</v>
      </c>
      <c r="Z14" s="1" t="s">
        <v>79</v>
      </c>
      <c r="AA14" s="5">
        <v>409592.44151072938</v>
      </c>
      <c r="AB14" s="5">
        <v>234344.09040581639</v>
      </c>
      <c r="AC14" s="5">
        <v>134458.12465368031</v>
      </c>
      <c r="AD14" s="5">
        <v>81568.06</v>
      </c>
      <c r="AE14" s="5">
        <v>81568.06</v>
      </c>
      <c r="AF14" s="1" t="s">
        <v>614</v>
      </c>
    </row>
    <row r="15" spans="1:62" x14ac:dyDescent="0.35">
      <c r="X15" s="16">
        <v>46265</v>
      </c>
      <c r="Y15" s="1" t="s">
        <v>61</v>
      </c>
      <c r="Z15" s="1" t="s">
        <v>79</v>
      </c>
      <c r="AA15" s="5">
        <v>427181.86332637112</v>
      </c>
      <c r="AB15" s="5">
        <v>244407.69666023701</v>
      </c>
      <c r="AC15" s="5">
        <v>140232.25628157501</v>
      </c>
      <c r="AD15" s="5">
        <v>46131.047500000001</v>
      </c>
      <c r="AE15" s="5">
        <v>46131.047500000001</v>
      </c>
      <c r="AF15" s="1" t="s">
        <v>614</v>
      </c>
    </row>
    <row r="16" spans="1:62" x14ac:dyDescent="0.35">
      <c r="X16" s="16">
        <v>46295</v>
      </c>
      <c r="Y16" s="1" t="s">
        <v>63</v>
      </c>
      <c r="Z16" s="1" t="s">
        <v>79</v>
      </c>
      <c r="AA16" s="5">
        <v>485327.36516747333</v>
      </c>
      <c r="AB16" s="5">
        <v>277675.04575946572</v>
      </c>
      <c r="AC16" s="5">
        <v>159319.85249249521</v>
      </c>
      <c r="AD16" s="5">
        <v>0</v>
      </c>
      <c r="AE16" s="5">
        <v>0</v>
      </c>
      <c r="AF16" s="1" t="s">
        <v>614</v>
      </c>
    </row>
    <row r="17" spans="24:32" x14ac:dyDescent="0.35">
      <c r="X17" s="16">
        <v>46326</v>
      </c>
      <c r="Y17" s="1" t="s">
        <v>64</v>
      </c>
      <c r="Z17" s="1" t="s">
        <v>79</v>
      </c>
      <c r="AA17" s="5">
        <v>544601.94583714614</v>
      </c>
      <c r="AB17" s="5">
        <v>311588.38566385157</v>
      </c>
      <c r="AC17" s="5">
        <v>178778.0947566379</v>
      </c>
      <c r="AD17" s="5">
        <v>0</v>
      </c>
      <c r="AE17" s="5">
        <v>0</v>
      </c>
      <c r="AF17" s="1" t="s">
        <v>614</v>
      </c>
    </row>
    <row r="18" spans="24:32" x14ac:dyDescent="0.35">
      <c r="X18" s="16">
        <v>46356</v>
      </c>
      <c r="Y18" s="1" t="s">
        <v>65</v>
      </c>
      <c r="Z18" s="1" t="s">
        <v>79</v>
      </c>
      <c r="AA18" s="5">
        <v>621642.30133777705</v>
      </c>
      <c r="AB18" s="5">
        <v>355666.23038126482</v>
      </c>
      <c r="AC18" s="5">
        <v>204068.3605756578</v>
      </c>
      <c r="AD18" s="5">
        <v>85554.386562500003</v>
      </c>
      <c r="AE18" s="5">
        <v>85554.386562500003</v>
      </c>
      <c r="AF18" s="1" t="s">
        <v>614</v>
      </c>
    </row>
    <row r="19" spans="24:32" x14ac:dyDescent="0.35">
      <c r="X19" s="16">
        <v>46387</v>
      </c>
      <c r="Y19" s="1" t="s">
        <v>66</v>
      </c>
      <c r="Z19" s="1" t="s">
        <v>79</v>
      </c>
      <c r="AA19" s="5">
        <v>698941.84579532256</v>
      </c>
      <c r="AB19" s="5">
        <v>399892.36738680559</v>
      </c>
      <c r="AC19" s="5">
        <v>229443.71112170321</v>
      </c>
      <c r="AD19" s="5">
        <v>85554.386562500003</v>
      </c>
      <c r="AE19" s="5">
        <v>85554.386562500003</v>
      </c>
      <c r="AF19" s="1" t="s">
        <v>614</v>
      </c>
    </row>
  </sheetData>
  <pageMargins left="0.75" right="0.75" top="1" bottom="1" header="0.5" footer="0.5"/>
  <tableParts count="7">
    <tablePart r:id="rId1"/>
    <tablePart r:id="rId2"/>
    <tablePart r:id="rId3"/>
    <tablePart r:id="rId4"/>
    <tablePart r:id="rId5"/>
    <tablePart r:id="rId6"/>
    <tablePart r:id="rId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F25"/>
  <sheetViews>
    <sheetView workbookViewId="0">
      <pane ySplit="1" topLeftCell="A2" activePane="bottomLeft" state="frozen"/>
      <selection pane="bottomLeft"/>
    </sheetView>
  </sheetViews>
  <sheetFormatPr defaultRowHeight="14.5" x14ac:dyDescent="0.35"/>
  <cols>
    <col min="1" max="1" width="12" customWidth="1"/>
    <col min="2" max="3" width="13" customWidth="1"/>
    <col min="4" max="4" width="12" customWidth="1"/>
    <col min="5" max="5" width="17" customWidth="1"/>
    <col min="6" max="6" width="18" customWidth="1"/>
    <col min="7" max="7" width="16" customWidth="1"/>
    <col min="8" max="8" width="15" customWidth="1"/>
    <col min="9" max="9" width="17" customWidth="1"/>
    <col min="10" max="10" width="12" customWidth="1"/>
    <col min="13" max="13" width="18" customWidth="1"/>
    <col min="14" max="15" width="15" customWidth="1"/>
    <col min="16" max="16" width="24" customWidth="1"/>
    <col min="17" max="17" width="20" customWidth="1"/>
    <col min="18" max="18" width="17" customWidth="1"/>
    <col min="19" max="19" width="21" customWidth="1"/>
    <col min="20" max="20" width="17" customWidth="1"/>
    <col min="21" max="21" width="14" customWidth="1"/>
    <col min="22" max="22" width="16" customWidth="1"/>
    <col min="23" max="23" width="20" customWidth="1"/>
    <col min="24" max="24" width="19" customWidth="1"/>
    <col min="25" max="25" width="24" customWidth="1"/>
    <col min="26" max="26" width="26" customWidth="1"/>
    <col min="27" max="27" width="14" customWidth="1"/>
    <col min="28" max="28" width="20" customWidth="1"/>
    <col min="29" max="29" width="24" customWidth="1"/>
    <col min="31" max="31" width="12" customWidth="1"/>
    <col min="32" max="32" width="20" customWidth="1"/>
  </cols>
  <sheetData>
    <row r="1" spans="1:32" x14ac:dyDescent="0.35">
      <c r="A1" s="15" t="s">
        <v>617</v>
      </c>
      <c r="B1" s="14" t="s">
        <v>618</v>
      </c>
      <c r="C1" s="14" t="s">
        <v>619</v>
      </c>
      <c r="D1" s="14" t="s">
        <v>620</v>
      </c>
      <c r="E1" s="14" t="s">
        <v>621</v>
      </c>
      <c r="F1" s="14" t="s">
        <v>622</v>
      </c>
      <c r="G1" s="14" t="s">
        <v>623</v>
      </c>
      <c r="H1" s="14" t="s">
        <v>624</v>
      </c>
      <c r="I1" s="14" t="s">
        <v>625</v>
      </c>
      <c r="J1" s="14" t="s">
        <v>626</v>
      </c>
      <c r="M1" s="14" t="s">
        <v>543</v>
      </c>
      <c r="N1" s="14" t="s">
        <v>544</v>
      </c>
      <c r="O1" s="14" t="s">
        <v>546</v>
      </c>
      <c r="P1" s="14" t="s">
        <v>627</v>
      </c>
      <c r="Q1" s="14" t="s">
        <v>628</v>
      </c>
      <c r="R1" s="14" t="s">
        <v>629</v>
      </c>
      <c r="S1" s="14" t="s">
        <v>630</v>
      </c>
      <c r="T1" s="14" t="s">
        <v>631</v>
      </c>
      <c r="U1" s="14" t="s">
        <v>632</v>
      </c>
      <c r="V1" s="14" t="s">
        <v>633</v>
      </c>
      <c r="W1" s="14" t="s">
        <v>600</v>
      </c>
      <c r="X1" s="14" t="s">
        <v>634</v>
      </c>
      <c r="Y1" s="14" t="s">
        <v>635</v>
      </c>
      <c r="Z1" s="14" t="s">
        <v>636</v>
      </c>
      <c r="AA1" s="14" t="s">
        <v>637</v>
      </c>
      <c r="AB1" s="14" t="s">
        <v>638</v>
      </c>
      <c r="AC1" s="14" t="s">
        <v>639</v>
      </c>
      <c r="AE1" s="14" t="s">
        <v>640</v>
      </c>
      <c r="AF1" s="14" t="s">
        <v>641</v>
      </c>
    </row>
    <row r="2" spans="1:32" x14ac:dyDescent="0.35">
      <c r="A2" s="1" t="s">
        <v>627</v>
      </c>
      <c r="B2" s="1" t="s">
        <v>164</v>
      </c>
      <c r="C2" s="1" t="s">
        <v>642</v>
      </c>
      <c r="D2" s="1" t="s">
        <v>643</v>
      </c>
      <c r="E2" s="13">
        <v>26597200.510000002</v>
      </c>
      <c r="F2" s="13">
        <v>15360769.6</v>
      </c>
      <c r="G2" s="13">
        <v>16919867.998750821</v>
      </c>
      <c r="H2" s="13">
        <v>32280637.59875083</v>
      </c>
      <c r="I2" s="13">
        <v>32705653.670000002</v>
      </c>
      <c r="J2" s="1" t="s">
        <v>644</v>
      </c>
      <c r="M2" s="16">
        <v>45688</v>
      </c>
      <c r="N2" s="1" t="s">
        <v>40</v>
      </c>
      <c r="O2" s="1" t="s">
        <v>41</v>
      </c>
      <c r="P2" s="5">
        <v>1996693.19</v>
      </c>
      <c r="Q2" s="5">
        <v>87337.41</v>
      </c>
      <c r="R2" s="5">
        <v>2084030.6</v>
      </c>
      <c r="S2" s="5">
        <v>430866.15</v>
      </c>
      <c r="T2" s="5">
        <v>51131.38</v>
      </c>
      <c r="U2" s="5">
        <v>481997.53</v>
      </c>
      <c r="V2" s="5">
        <v>1602033.07</v>
      </c>
      <c r="W2" s="2">
        <v>0.76871859271164245</v>
      </c>
      <c r="X2" s="5">
        <v>1096480.6499999999</v>
      </c>
      <c r="Y2" s="5">
        <v>714081.25</v>
      </c>
      <c r="Z2" s="5">
        <v>350148.31</v>
      </c>
      <c r="AA2" s="5">
        <v>2160710.21</v>
      </c>
      <c r="AB2" s="5">
        <v>-558677.14000000013</v>
      </c>
      <c r="AC2" s="2">
        <v>-0.26807530561211529</v>
      </c>
      <c r="AE2" s="1" t="s">
        <v>196</v>
      </c>
      <c r="AF2" s="3">
        <v>27.36101116252248</v>
      </c>
    </row>
    <row r="3" spans="1:32" x14ac:dyDescent="0.35">
      <c r="A3" s="1" t="s">
        <v>628</v>
      </c>
      <c r="B3" s="1" t="s">
        <v>165</v>
      </c>
      <c r="C3" s="1" t="s">
        <v>642</v>
      </c>
      <c r="D3" s="1" t="s">
        <v>643</v>
      </c>
      <c r="E3" s="13">
        <v>802574.54</v>
      </c>
      <c r="F3" s="13">
        <v>334564.46000000002</v>
      </c>
      <c r="G3" s="13">
        <v>175768.19290055241</v>
      </c>
      <c r="H3" s="13">
        <v>510332.65290055238</v>
      </c>
      <c r="I3" s="13">
        <v>926973.59</v>
      </c>
      <c r="J3" s="1" t="s">
        <v>644</v>
      </c>
      <c r="M3" s="16">
        <v>45716</v>
      </c>
      <c r="N3" s="1" t="s">
        <v>42</v>
      </c>
      <c r="O3" s="1" t="s">
        <v>41</v>
      </c>
      <c r="P3" s="5">
        <v>2049863.92</v>
      </c>
      <c r="Q3" s="5">
        <v>86601.9</v>
      </c>
      <c r="R3" s="5">
        <v>2136465.8199999998</v>
      </c>
      <c r="S3" s="5">
        <v>434260.77</v>
      </c>
      <c r="T3" s="5">
        <v>50155.63</v>
      </c>
      <c r="U3" s="5">
        <v>484416.4</v>
      </c>
      <c r="V3" s="5">
        <v>1652049.42</v>
      </c>
      <c r="W3" s="2">
        <v>0.77326274286007535</v>
      </c>
      <c r="X3" s="5">
        <v>1134606.79</v>
      </c>
      <c r="Y3" s="5">
        <v>744423.13</v>
      </c>
      <c r="Z3" s="5">
        <v>418982.17</v>
      </c>
      <c r="AA3" s="5">
        <v>2298012.09</v>
      </c>
      <c r="AB3" s="5">
        <v>-645962.66999999993</v>
      </c>
      <c r="AC3" s="2">
        <v>-0.30235104346298408</v>
      </c>
      <c r="AE3" s="1" t="s">
        <v>197</v>
      </c>
      <c r="AF3" s="3">
        <v>54.222128773924567</v>
      </c>
    </row>
    <row r="4" spans="1:32" x14ac:dyDescent="0.35">
      <c r="A4" s="1" t="s">
        <v>629</v>
      </c>
      <c r="B4" s="1" t="s">
        <v>166</v>
      </c>
      <c r="C4" s="1" t="s">
        <v>645</v>
      </c>
      <c r="D4" s="1" t="s">
        <v>643</v>
      </c>
      <c r="E4" s="13">
        <v>27399775.050000001</v>
      </c>
      <c r="F4" s="13">
        <v>15695334.060000001</v>
      </c>
      <c r="G4" s="13">
        <v>17095636.19165137</v>
      </c>
      <c r="H4" s="13">
        <v>32790970.251651369</v>
      </c>
      <c r="I4" s="13">
        <v>33632627.259999998</v>
      </c>
      <c r="J4" s="1" t="s">
        <v>644</v>
      </c>
      <c r="M4" s="16">
        <v>45747</v>
      </c>
      <c r="N4" s="1" t="s">
        <v>43</v>
      </c>
      <c r="O4" s="1" t="s">
        <v>41</v>
      </c>
      <c r="P4" s="5">
        <v>2082086.24</v>
      </c>
      <c r="Q4" s="5">
        <v>73525.070000000007</v>
      </c>
      <c r="R4" s="5">
        <v>2155611.31</v>
      </c>
      <c r="S4" s="5">
        <v>470723.59</v>
      </c>
      <c r="T4" s="5">
        <v>50919.56</v>
      </c>
      <c r="U4" s="5">
        <v>521643.15</v>
      </c>
      <c r="V4" s="5">
        <v>1633968.16</v>
      </c>
      <c r="W4" s="2">
        <v>0.75800685978030047</v>
      </c>
      <c r="X4" s="5">
        <v>1178944.7</v>
      </c>
      <c r="Y4" s="5">
        <v>719937.97</v>
      </c>
      <c r="Z4" s="5">
        <v>486344.39</v>
      </c>
      <c r="AA4" s="5">
        <v>2385227.06</v>
      </c>
      <c r="AB4" s="5">
        <v>-751258.89999999991</v>
      </c>
      <c r="AC4" s="2">
        <v>-0.34851315564864049</v>
      </c>
      <c r="AE4" s="1" t="s">
        <v>198</v>
      </c>
      <c r="AF4" s="3">
        <v>21.736211180417119</v>
      </c>
    </row>
    <row r="5" spans="1:32" x14ac:dyDescent="0.35">
      <c r="A5" s="1" t="s">
        <v>630</v>
      </c>
      <c r="B5" s="1" t="s">
        <v>167</v>
      </c>
      <c r="C5" s="1" t="s">
        <v>642</v>
      </c>
      <c r="D5" s="1" t="s">
        <v>643</v>
      </c>
      <c r="E5" s="13">
        <v>5756105.1999999993</v>
      </c>
      <c r="F5" s="13">
        <v>3039916.5</v>
      </c>
      <c r="G5" s="13">
        <v>3235266.8297998919</v>
      </c>
      <c r="H5" s="13">
        <v>6275183.3297998933</v>
      </c>
      <c r="I5" s="13">
        <v>7935959.96</v>
      </c>
      <c r="J5" s="1" t="s">
        <v>646</v>
      </c>
      <c r="M5" s="16">
        <v>45777</v>
      </c>
      <c r="N5" s="1" t="s">
        <v>44</v>
      </c>
      <c r="O5" s="1" t="s">
        <v>41</v>
      </c>
      <c r="P5" s="5">
        <v>2129369.35</v>
      </c>
      <c r="Q5" s="5">
        <v>67875.399999999994</v>
      </c>
      <c r="R5" s="5">
        <v>2197244.75</v>
      </c>
      <c r="S5" s="5">
        <v>477560.96</v>
      </c>
      <c r="T5" s="5">
        <v>50626.12</v>
      </c>
      <c r="U5" s="5">
        <v>528187.08000000007</v>
      </c>
      <c r="V5" s="5">
        <v>1669057.67</v>
      </c>
      <c r="W5" s="2">
        <v>0.75961390737194845</v>
      </c>
      <c r="X5" s="5">
        <v>1210305.74</v>
      </c>
      <c r="Y5" s="5">
        <v>747789.87</v>
      </c>
      <c r="Z5" s="5">
        <v>497653.45</v>
      </c>
      <c r="AA5" s="5">
        <v>2455749.06</v>
      </c>
      <c r="AB5" s="5">
        <v>-786691.39000000013</v>
      </c>
      <c r="AC5" s="2">
        <v>-0.35803539409981527</v>
      </c>
      <c r="AE5" s="1" t="s">
        <v>199</v>
      </c>
      <c r="AF5" s="3">
        <v>18.584658253230121</v>
      </c>
    </row>
    <row r="6" spans="1:32" x14ac:dyDescent="0.35">
      <c r="A6" s="1" t="s">
        <v>631</v>
      </c>
      <c r="B6" s="1" t="s">
        <v>168</v>
      </c>
      <c r="C6" s="1" t="s">
        <v>642</v>
      </c>
      <c r="D6" s="1" t="s">
        <v>643</v>
      </c>
      <c r="E6" s="13">
        <v>708534.71</v>
      </c>
      <c r="F6" s="13">
        <v>404304.06</v>
      </c>
      <c r="G6" s="13">
        <v>416710.88573582232</v>
      </c>
      <c r="H6" s="13">
        <v>821014.9457358222</v>
      </c>
      <c r="I6" s="13">
        <v>785224.35</v>
      </c>
      <c r="J6" s="1" t="s">
        <v>646</v>
      </c>
      <c r="M6" s="16">
        <v>45808</v>
      </c>
      <c r="N6" s="1" t="s">
        <v>45</v>
      </c>
      <c r="O6" s="1" t="s">
        <v>41</v>
      </c>
      <c r="P6" s="5">
        <v>2179396.31</v>
      </c>
      <c r="Q6" s="5">
        <v>63119</v>
      </c>
      <c r="R6" s="5">
        <v>2242515.31</v>
      </c>
      <c r="S6" s="5">
        <v>474228.27</v>
      </c>
      <c r="T6" s="5">
        <v>59965.61</v>
      </c>
      <c r="U6" s="5">
        <v>534193.88</v>
      </c>
      <c r="V6" s="5">
        <v>1708321.43</v>
      </c>
      <c r="W6" s="2">
        <v>0.76178807894069633</v>
      </c>
      <c r="X6" s="5">
        <v>1179057.08</v>
      </c>
      <c r="Y6" s="5">
        <v>762072.84</v>
      </c>
      <c r="Z6" s="5">
        <v>412867.38</v>
      </c>
      <c r="AA6" s="5">
        <v>2353997.2999999998</v>
      </c>
      <c r="AB6" s="5">
        <v>-645675.86999999965</v>
      </c>
      <c r="AC6" s="2">
        <v>-0.28792484364354221</v>
      </c>
      <c r="AE6" s="1" t="s">
        <v>200</v>
      </c>
      <c r="AF6" s="3">
        <v>22.648176362071641</v>
      </c>
    </row>
    <row r="7" spans="1:32" x14ac:dyDescent="0.35">
      <c r="A7" s="1" t="s">
        <v>632</v>
      </c>
      <c r="B7" s="1" t="s">
        <v>169</v>
      </c>
      <c r="C7" s="1" t="s">
        <v>645</v>
      </c>
      <c r="D7" s="1" t="s">
        <v>643</v>
      </c>
      <c r="E7" s="13">
        <v>6464639.9099999992</v>
      </c>
      <c r="F7" s="13">
        <v>3444220.56</v>
      </c>
      <c r="G7" s="13">
        <v>3651977.7155357152</v>
      </c>
      <c r="H7" s="13">
        <v>7096198.2755357148</v>
      </c>
      <c r="I7" s="13">
        <v>8721184.3100000005</v>
      </c>
      <c r="J7" s="1" t="s">
        <v>646</v>
      </c>
      <c r="M7" s="16">
        <v>45838</v>
      </c>
      <c r="N7" s="1" t="s">
        <v>46</v>
      </c>
      <c r="O7" s="1" t="s">
        <v>41</v>
      </c>
      <c r="P7" s="5">
        <v>2209872</v>
      </c>
      <c r="Q7" s="5">
        <v>59243.65</v>
      </c>
      <c r="R7" s="5">
        <v>2269115.65</v>
      </c>
      <c r="S7" s="5">
        <v>486841.87</v>
      </c>
      <c r="T7" s="5">
        <v>58961.59</v>
      </c>
      <c r="U7" s="5">
        <v>545803.46</v>
      </c>
      <c r="V7" s="5">
        <v>1723312.19</v>
      </c>
      <c r="W7" s="2">
        <v>0.75946423885446301</v>
      </c>
      <c r="X7" s="5">
        <v>1178626.81</v>
      </c>
      <c r="Y7" s="5">
        <v>751289.38</v>
      </c>
      <c r="Z7" s="5">
        <v>387669.49</v>
      </c>
      <c r="AA7" s="5">
        <v>2317585.6800000002</v>
      </c>
      <c r="AB7" s="5">
        <v>-594273.48999999976</v>
      </c>
      <c r="AC7" s="2">
        <v>-0.26189651902493372</v>
      </c>
      <c r="AE7" s="1" t="s">
        <v>201</v>
      </c>
      <c r="AF7" s="3">
        <v>7.8489744553030603</v>
      </c>
    </row>
    <row r="8" spans="1:32" x14ac:dyDescent="0.35">
      <c r="A8" s="1" t="s">
        <v>633</v>
      </c>
      <c r="B8" s="1" t="s">
        <v>170</v>
      </c>
      <c r="C8" s="1" t="s">
        <v>647</v>
      </c>
      <c r="D8" s="1" t="s">
        <v>643</v>
      </c>
      <c r="E8" s="13">
        <v>20935135.140000001</v>
      </c>
      <c r="F8" s="13">
        <v>12251113.5</v>
      </c>
      <c r="G8" s="13">
        <v>13443658.476115661</v>
      </c>
      <c r="H8" s="13">
        <v>25694771.976115659</v>
      </c>
      <c r="I8" s="13">
        <v>24911442.949999999</v>
      </c>
      <c r="J8" s="1" t="s">
        <v>644</v>
      </c>
      <c r="M8" s="16">
        <v>45869</v>
      </c>
      <c r="N8" s="1" t="s">
        <v>47</v>
      </c>
      <c r="O8" s="1" t="s">
        <v>41</v>
      </c>
      <c r="P8" s="5">
        <v>2240981.88</v>
      </c>
      <c r="Q8" s="5">
        <v>57452.67</v>
      </c>
      <c r="R8" s="5">
        <v>2298434.5499999998</v>
      </c>
      <c r="S8" s="5">
        <v>482379.7</v>
      </c>
      <c r="T8" s="5">
        <v>62072.78</v>
      </c>
      <c r="U8" s="5">
        <v>544452.48</v>
      </c>
      <c r="V8" s="5">
        <v>1753982.07</v>
      </c>
      <c r="W8" s="2">
        <v>0.7631203029035567</v>
      </c>
      <c r="X8" s="5">
        <v>1137773.3999999999</v>
      </c>
      <c r="Y8" s="5">
        <v>754504.33</v>
      </c>
      <c r="Z8" s="5">
        <v>412503.21</v>
      </c>
      <c r="AA8" s="5">
        <v>2304780.94</v>
      </c>
      <c r="AB8" s="5">
        <v>-550798.87000000011</v>
      </c>
      <c r="AC8" s="2">
        <v>-0.23964087643913989</v>
      </c>
      <c r="AE8" s="1" t="s">
        <v>202</v>
      </c>
      <c r="AF8" s="3">
        <v>48.606417750220061</v>
      </c>
    </row>
    <row r="9" spans="1:32" x14ac:dyDescent="0.35">
      <c r="A9" s="1" t="s">
        <v>600</v>
      </c>
      <c r="B9" s="1" t="s">
        <v>171</v>
      </c>
      <c r="C9" s="1" t="s">
        <v>648</v>
      </c>
      <c r="D9" s="1" t="s">
        <v>649</v>
      </c>
      <c r="E9" s="13">
        <v>0.76406229984723895</v>
      </c>
      <c r="F9" s="13">
        <v>0.78055767740696314</v>
      </c>
      <c r="G9" s="13">
        <v>0.78637953717574149</v>
      </c>
      <c r="H9" s="13">
        <v>0.78359291533380782</v>
      </c>
      <c r="I9" s="13">
        <v>0.74069274331201929</v>
      </c>
      <c r="J9" s="1" t="s">
        <v>644</v>
      </c>
      <c r="M9" s="16">
        <v>45900</v>
      </c>
      <c r="N9" s="1" t="s">
        <v>48</v>
      </c>
      <c r="O9" s="1" t="s">
        <v>41</v>
      </c>
      <c r="P9" s="5">
        <v>2276602.52</v>
      </c>
      <c r="Q9" s="5">
        <v>56599.48</v>
      </c>
      <c r="R9" s="5">
        <v>2333202</v>
      </c>
      <c r="S9" s="5">
        <v>476242.23</v>
      </c>
      <c r="T9" s="5">
        <v>62034.77</v>
      </c>
      <c r="U9" s="5">
        <v>538277</v>
      </c>
      <c r="V9" s="5">
        <v>1794925</v>
      </c>
      <c r="W9" s="2">
        <v>0.7692968718525014</v>
      </c>
      <c r="X9" s="5">
        <v>1136819.56</v>
      </c>
      <c r="Y9" s="5">
        <v>779830.22</v>
      </c>
      <c r="Z9" s="5">
        <v>421518.29</v>
      </c>
      <c r="AA9" s="5">
        <v>2338168.0699999998</v>
      </c>
      <c r="AB9" s="5">
        <v>-543243.06999999983</v>
      </c>
      <c r="AC9" s="2">
        <v>-0.23283156366229751</v>
      </c>
      <c r="AE9" s="1" t="s">
        <v>203</v>
      </c>
      <c r="AF9" s="3">
        <v>16.654889394150452</v>
      </c>
    </row>
    <row r="10" spans="1:32" x14ac:dyDescent="0.35">
      <c r="A10" s="1" t="s">
        <v>634</v>
      </c>
      <c r="B10" s="1" t="s">
        <v>172</v>
      </c>
      <c r="C10" s="1" t="s">
        <v>642</v>
      </c>
      <c r="D10" s="1" t="s">
        <v>643</v>
      </c>
      <c r="E10" s="13">
        <v>14145200.08</v>
      </c>
      <c r="F10" s="13">
        <v>7291450.4299999997</v>
      </c>
      <c r="G10" s="13">
        <v>8092469.6313624624</v>
      </c>
      <c r="H10" s="13">
        <v>15383920.06136246</v>
      </c>
      <c r="I10" s="13">
        <v>14482767.92</v>
      </c>
      <c r="J10" s="1" t="s">
        <v>646</v>
      </c>
      <c r="M10" s="16">
        <v>45930</v>
      </c>
      <c r="N10" s="1" t="s">
        <v>49</v>
      </c>
      <c r="O10" s="1" t="s">
        <v>41</v>
      </c>
      <c r="P10" s="5">
        <v>2303897.33</v>
      </c>
      <c r="Q10" s="5">
        <v>53411.27</v>
      </c>
      <c r="R10" s="5">
        <v>2357308.6</v>
      </c>
      <c r="S10" s="5">
        <v>482779.47</v>
      </c>
      <c r="T10" s="5">
        <v>62442.09</v>
      </c>
      <c r="U10" s="5">
        <v>545221.55999999994</v>
      </c>
      <c r="V10" s="5">
        <v>1812087.04</v>
      </c>
      <c r="W10" s="2">
        <v>0.7687101468174341</v>
      </c>
      <c r="X10" s="5">
        <v>1217022.6299999999</v>
      </c>
      <c r="Y10" s="5">
        <v>770226.36</v>
      </c>
      <c r="Z10" s="5">
        <v>428838.63</v>
      </c>
      <c r="AA10" s="5">
        <v>2416087.62</v>
      </c>
      <c r="AB10" s="5">
        <v>-604000.57999999961</v>
      </c>
      <c r="AC10" s="2">
        <v>-0.25622465382767429</v>
      </c>
    </row>
    <row r="11" spans="1:32" x14ac:dyDescent="0.35">
      <c r="A11" s="1" t="s">
        <v>635</v>
      </c>
      <c r="B11" s="1" t="s">
        <v>173</v>
      </c>
      <c r="C11" s="1" t="s">
        <v>642</v>
      </c>
      <c r="D11" s="1" t="s">
        <v>643</v>
      </c>
      <c r="E11" s="13">
        <v>9200437.1400000006</v>
      </c>
      <c r="F11" s="13">
        <v>4912182.0600000015</v>
      </c>
      <c r="G11" s="13">
        <v>5147699.2421262134</v>
      </c>
      <c r="H11" s="13">
        <v>10059881.30212621</v>
      </c>
      <c r="I11" s="13">
        <v>10140310.439999999</v>
      </c>
      <c r="J11" s="1" t="s">
        <v>646</v>
      </c>
      <c r="M11" s="16">
        <v>45961</v>
      </c>
      <c r="N11" s="1" t="s">
        <v>50</v>
      </c>
      <c r="O11" s="1" t="s">
        <v>41</v>
      </c>
      <c r="P11" s="5">
        <v>2331006.71</v>
      </c>
      <c r="Q11" s="5">
        <v>50824.95</v>
      </c>
      <c r="R11" s="5">
        <v>2381831.66</v>
      </c>
      <c r="S11" s="5">
        <v>500497.99</v>
      </c>
      <c r="T11" s="5">
        <v>61927.49</v>
      </c>
      <c r="U11" s="5">
        <v>562425.48</v>
      </c>
      <c r="V11" s="5">
        <v>1819406.18</v>
      </c>
      <c r="W11" s="2">
        <v>0.76386850110137494</v>
      </c>
      <c r="X11" s="5">
        <v>1228561.5900000001</v>
      </c>
      <c r="Y11" s="5">
        <v>835485.8</v>
      </c>
      <c r="Z11" s="5">
        <v>439363.07</v>
      </c>
      <c r="AA11" s="5">
        <v>2503410.46</v>
      </c>
      <c r="AB11" s="5">
        <v>-684004.2799999998</v>
      </c>
      <c r="AC11" s="2">
        <v>-0.28717574440168442</v>
      </c>
    </row>
    <row r="12" spans="1:32" x14ac:dyDescent="0.35">
      <c r="A12" s="1" t="s">
        <v>636</v>
      </c>
      <c r="B12" s="1" t="s">
        <v>174</v>
      </c>
      <c r="C12" s="1" t="s">
        <v>642</v>
      </c>
      <c r="D12" s="1" t="s">
        <v>643</v>
      </c>
      <c r="E12" s="13">
        <v>5120076.7400000012</v>
      </c>
      <c r="F12" s="13">
        <v>2972513.47</v>
      </c>
      <c r="G12" s="13">
        <v>2992146.3137582219</v>
      </c>
      <c r="H12" s="13">
        <v>5964659.7837582221</v>
      </c>
      <c r="I12" s="13">
        <v>5913831.4699999997</v>
      </c>
      <c r="J12" s="1" t="s">
        <v>646</v>
      </c>
      <c r="M12" s="16">
        <v>45991</v>
      </c>
      <c r="N12" s="1" t="s">
        <v>51</v>
      </c>
      <c r="O12" s="1" t="s">
        <v>41</v>
      </c>
      <c r="P12" s="5">
        <v>2372251.11</v>
      </c>
      <c r="Q12" s="5">
        <v>70188.69</v>
      </c>
      <c r="R12" s="5">
        <v>2442439.7999999998</v>
      </c>
      <c r="S12" s="5">
        <v>516823.85</v>
      </c>
      <c r="T12" s="5">
        <v>75386.460000000006</v>
      </c>
      <c r="U12" s="5">
        <v>592210.30999999994</v>
      </c>
      <c r="V12" s="5">
        <v>1850229.49</v>
      </c>
      <c r="W12" s="2">
        <v>0.75753330337967806</v>
      </c>
      <c r="X12" s="5">
        <v>1236147.8999999999</v>
      </c>
      <c r="Y12" s="5">
        <v>809539.01</v>
      </c>
      <c r="Z12" s="5">
        <v>430838.49</v>
      </c>
      <c r="AA12" s="5">
        <v>2476525.4</v>
      </c>
      <c r="AB12" s="5">
        <v>-626295.91000000015</v>
      </c>
      <c r="AC12" s="2">
        <v>-0.25642225040715438</v>
      </c>
    </row>
    <row r="13" spans="1:32" x14ac:dyDescent="0.35">
      <c r="A13" s="1" t="s">
        <v>637</v>
      </c>
      <c r="B13" s="1" t="s">
        <v>175</v>
      </c>
      <c r="C13" s="1" t="s">
        <v>645</v>
      </c>
      <c r="D13" s="1" t="s">
        <v>643</v>
      </c>
      <c r="E13" s="13">
        <v>28465713.960000001</v>
      </c>
      <c r="F13" s="13">
        <v>15176145.960000001</v>
      </c>
      <c r="G13" s="13">
        <v>16232315.1872469</v>
      </c>
      <c r="H13" s="13">
        <v>31408461.147246901</v>
      </c>
      <c r="I13" s="13">
        <v>30536909.829999998</v>
      </c>
      <c r="J13" s="1" t="s">
        <v>646</v>
      </c>
      <c r="M13" s="16">
        <v>46022</v>
      </c>
      <c r="N13" s="1" t="s">
        <v>52</v>
      </c>
      <c r="O13" s="1" t="s">
        <v>41</v>
      </c>
      <c r="P13" s="5">
        <v>2425179.9500000002</v>
      </c>
      <c r="Q13" s="5">
        <v>76395.05</v>
      </c>
      <c r="R13" s="5">
        <v>2501575</v>
      </c>
      <c r="S13" s="5">
        <v>522900.35</v>
      </c>
      <c r="T13" s="5">
        <v>62911.23</v>
      </c>
      <c r="U13" s="5">
        <v>585811.57999999996</v>
      </c>
      <c r="V13" s="5">
        <v>1915763.42</v>
      </c>
      <c r="W13" s="2">
        <v>0.76582289957326877</v>
      </c>
      <c r="X13" s="5">
        <v>1210853.23</v>
      </c>
      <c r="Y13" s="5">
        <v>811256.98</v>
      </c>
      <c r="Z13" s="5">
        <v>433349.86</v>
      </c>
      <c r="AA13" s="5">
        <v>2455460.0699999998</v>
      </c>
      <c r="AB13" s="5">
        <v>-539696.64999999991</v>
      </c>
      <c r="AC13" s="2">
        <v>-0.2157427420724943</v>
      </c>
    </row>
    <row r="14" spans="1:32" x14ac:dyDescent="0.35">
      <c r="A14" s="1" t="s">
        <v>638</v>
      </c>
      <c r="B14" s="1" t="s">
        <v>176</v>
      </c>
      <c r="C14" s="1" t="s">
        <v>647</v>
      </c>
      <c r="D14" s="1" t="s">
        <v>643</v>
      </c>
      <c r="E14" s="13">
        <v>-7530578.8199999984</v>
      </c>
      <c r="F14" s="13">
        <v>-2925032.46</v>
      </c>
      <c r="G14" s="13">
        <v>-2788656.711131237</v>
      </c>
      <c r="H14" s="13">
        <v>-5713689.1711312355</v>
      </c>
      <c r="I14" s="13">
        <v>-5625466.8799999952</v>
      </c>
      <c r="J14" s="1" t="s">
        <v>644</v>
      </c>
      <c r="M14" s="16">
        <v>46053</v>
      </c>
      <c r="N14" s="1" t="s">
        <v>53</v>
      </c>
      <c r="O14" s="1" t="s">
        <v>41</v>
      </c>
      <c r="P14" s="5">
        <v>2485743.3199999998</v>
      </c>
      <c r="Q14" s="5">
        <v>70707.55</v>
      </c>
      <c r="R14" s="5">
        <v>2556450.87</v>
      </c>
      <c r="S14" s="5">
        <v>485515.3</v>
      </c>
      <c r="T14" s="5">
        <v>62478.79</v>
      </c>
      <c r="U14" s="5">
        <v>547994.09</v>
      </c>
      <c r="V14" s="5">
        <v>2008456.78</v>
      </c>
      <c r="W14" s="2">
        <v>0.78564262805488605</v>
      </c>
      <c r="X14" s="5">
        <v>1092738.1499999999</v>
      </c>
      <c r="Y14" s="5">
        <v>804145.12</v>
      </c>
      <c r="Z14" s="5">
        <v>432213.05</v>
      </c>
      <c r="AA14" s="5">
        <v>2329096.3199999998</v>
      </c>
      <c r="AB14" s="5">
        <v>-320639.53999999998</v>
      </c>
      <c r="AC14" s="2">
        <v>-0.12542370509158271</v>
      </c>
    </row>
    <row r="15" spans="1:32" x14ac:dyDescent="0.35">
      <c r="A15" s="1" t="s">
        <v>639</v>
      </c>
      <c r="B15" s="1" t="s">
        <v>177</v>
      </c>
      <c r="C15" s="1" t="s">
        <v>648</v>
      </c>
      <c r="D15" s="1" t="s">
        <v>649</v>
      </c>
      <c r="E15" s="13">
        <v>-0.27484089946935519</v>
      </c>
      <c r="F15" s="13">
        <v>-0.18636318595183829</v>
      </c>
      <c r="G15" s="13">
        <v>-0.1631209672380062</v>
      </c>
      <c r="H15" s="13">
        <v>-0.1742458099678674</v>
      </c>
      <c r="I15" s="13">
        <v>-0.16726218967408721</v>
      </c>
      <c r="J15" s="1" t="s">
        <v>644</v>
      </c>
      <c r="M15" s="16">
        <v>46081</v>
      </c>
      <c r="N15" s="1" t="s">
        <v>54</v>
      </c>
      <c r="O15" s="1" t="s">
        <v>41</v>
      </c>
      <c r="P15" s="5">
        <v>2515388.27</v>
      </c>
      <c r="Q15" s="5">
        <v>58952.53</v>
      </c>
      <c r="R15" s="5">
        <v>2574340.7999999998</v>
      </c>
      <c r="S15" s="5">
        <v>492789.53</v>
      </c>
      <c r="T15" s="5">
        <v>62470.16</v>
      </c>
      <c r="U15" s="5">
        <v>555259.69000000006</v>
      </c>
      <c r="V15" s="5">
        <v>2019081.11</v>
      </c>
      <c r="W15" s="2">
        <v>0.78430995227982259</v>
      </c>
      <c r="X15" s="5">
        <v>1111024.78</v>
      </c>
      <c r="Y15" s="5">
        <v>810796.51</v>
      </c>
      <c r="Z15" s="5">
        <v>462393.86</v>
      </c>
      <c r="AA15" s="5">
        <v>2384215.15</v>
      </c>
      <c r="AB15" s="5">
        <v>-365134.04</v>
      </c>
      <c r="AC15" s="2">
        <v>-0.1418359371843852</v>
      </c>
    </row>
    <row r="16" spans="1:32" x14ac:dyDescent="0.35">
      <c r="M16" s="16">
        <v>46112</v>
      </c>
      <c r="N16" s="1" t="s">
        <v>55</v>
      </c>
      <c r="O16" s="1" t="s">
        <v>41</v>
      </c>
      <c r="P16" s="5">
        <v>2533283.83</v>
      </c>
      <c r="Q16" s="5">
        <v>56835.99</v>
      </c>
      <c r="R16" s="5">
        <v>2590119.8199999998</v>
      </c>
      <c r="S16" s="5">
        <v>519298.51</v>
      </c>
      <c r="T16" s="5">
        <v>69930.95</v>
      </c>
      <c r="U16" s="5">
        <v>589229.46</v>
      </c>
      <c r="V16" s="5">
        <v>2000890.36</v>
      </c>
      <c r="W16" s="2">
        <v>0.77250880231479024</v>
      </c>
      <c r="X16" s="5">
        <v>1203029.25</v>
      </c>
      <c r="Y16" s="5">
        <v>822096.85</v>
      </c>
      <c r="Z16" s="5">
        <v>599754.12</v>
      </c>
      <c r="AA16" s="5">
        <v>2624880.2200000002</v>
      </c>
      <c r="AB16" s="5">
        <v>-623989.85999999987</v>
      </c>
      <c r="AC16" s="2">
        <v>-0.2409115806850973</v>
      </c>
    </row>
    <row r="17" spans="13:29" x14ac:dyDescent="0.35">
      <c r="M17" s="16">
        <v>46142</v>
      </c>
      <c r="N17" s="1" t="s">
        <v>56</v>
      </c>
      <c r="O17" s="1" t="s">
        <v>41</v>
      </c>
      <c r="P17" s="5">
        <v>2560065.62</v>
      </c>
      <c r="Q17" s="5">
        <v>50909</v>
      </c>
      <c r="R17" s="5">
        <v>2610974.62</v>
      </c>
      <c r="S17" s="5">
        <v>494409.36</v>
      </c>
      <c r="T17" s="5">
        <v>69856.84</v>
      </c>
      <c r="U17" s="5">
        <v>564266.19999999995</v>
      </c>
      <c r="V17" s="5">
        <v>2046708.42</v>
      </c>
      <c r="W17" s="2">
        <v>0.78388675413474518</v>
      </c>
      <c r="X17" s="5">
        <v>1324853.52</v>
      </c>
      <c r="Y17" s="5">
        <v>817844.18</v>
      </c>
      <c r="Z17" s="5">
        <v>554504.04</v>
      </c>
      <c r="AA17" s="5">
        <v>2697201.74</v>
      </c>
      <c r="AB17" s="5">
        <v>-650493.32000000007</v>
      </c>
      <c r="AC17" s="2">
        <v>-0.2491381245214862</v>
      </c>
    </row>
    <row r="18" spans="13:29" x14ac:dyDescent="0.35">
      <c r="M18" s="16">
        <v>46173</v>
      </c>
      <c r="N18" s="1" t="s">
        <v>57</v>
      </c>
      <c r="O18" s="1" t="s">
        <v>41</v>
      </c>
      <c r="P18" s="5">
        <v>2597740.65</v>
      </c>
      <c r="Q18" s="5">
        <v>46436.61</v>
      </c>
      <c r="R18" s="5">
        <v>2644177.2599999998</v>
      </c>
      <c r="S18" s="5">
        <v>517045.75</v>
      </c>
      <c r="T18" s="5">
        <v>69917.02</v>
      </c>
      <c r="U18" s="5">
        <v>586962.77</v>
      </c>
      <c r="V18" s="5">
        <v>2057214.49</v>
      </c>
      <c r="W18" s="2">
        <v>0.77801686033711681</v>
      </c>
      <c r="X18" s="5">
        <v>1271678.48</v>
      </c>
      <c r="Y18" s="5">
        <v>829779.86</v>
      </c>
      <c r="Z18" s="5">
        <v>470615.8</v>
      </c>
      <c r="AA18" s="5">
        <v>2572074.14</v>
      </c>
      <c r="AB18" s="5">
        <v>-514859.64999999991</v>
      </c>
      <c r="AC18" s="2">
        <v>-0.19471449883053599</v>
      </c>
    </row>
    <row r="19" spans="13:29" x14ac:dyDescent="0.35">
      <c r="M19" s="16">
        <v>46203</v>
      </c>
      <c r="N19" s="1" t="s">
        <v>58</v>
      </c>
      <c r="O19" s="1" t="s">
        <v>41</v>
      </c>
      <c r="P19" s="5">
        <v>2668547.91</v>
      </c>
      <c r="Q19" s="5">
        <v>50722.78</v>
      </c>
      <c r="R19" s="5">
        <v>2719270.69</v>
      </c>
      <c r="S19" s="5">
        <v>530858.05000000005</v>
      </c>
      <c r="T19" s="5">
        <v>69650.3</v>
      </c>
      <c r="U19" s="5">
        <v>600508.35000000009</v>
      </c>
      <c r="V19" s="5">
        <v>2118762.34</v>
      </c>
      <c r="W19" s="2">
        <v>0.77916565930403936</v>
      </c>
      <c r="X19" s="5">
        <v>1288126.25</v>
      </c>
      <c r="Y19" s="5">
        <v>827519.54</v>
      </c>
      <c r="Z19" s="5">
        <v>453032.6</v>
      </c>
      <c r="AA19" s="5">
        <v>2568678.39</v>
      </c>
      <c r="AB19" s="5">
        <v>-449916.05000000028</v>
      </c>
      <c r="AC19" s="2">
        <v>-0.16545467564319619</v>
      </c>
    </row>
    <row r="20" spans="13:29" x14ac:dyDescent="0.35">
      <c r="M20" s="16">
        <v>46234</v>
      </c>
      <c r="N20" s="1" t="s">
        <v>59</v>
      </c>
      <c r="O20" s="1" t="s">
        <v>60</v>
      </c>
      <c r="P20" s="5">
        <v>2731761.7365000001</v>
      </c>
      <c r="Q20" s="5">
        <v>56429.808568092798</v>
      </c>
      <c r="R20" s="5">
        <v>2788191.5450680931</v>
      </c>
      <c r="S20" s="5">
        <v>514420.25826188992</v>
      </c>
      <c r="T20" s="5">
        <v>69945.524038347809</v>
      </c>
      <c r="U20" s="5">
        <v>584365.78230023768</v>
      </c>
      <c r="V20" s="5">
        <v>2203825.762767856</v>
      </c>
      <c r="W20" s="2">
        <v>0.79041404693522721</v>
      </c>
      <c r="X20" s="5">
        <v>1289582.045919904</v>
      </c>
      <c r="Y20" s="5">
        <v>828190.127851789</v>
      </c>
      <c r="Z20" s="5">
        <v>488539.50561841257</v>
      </c>
      <c r="AA20" s="5">
        <v>2606311.679390105</v>
      </c>
      <c r="AB20" s="5">
        <v>-402485.91662224988</v>
      </c>
      <c r="AC20" s="2">
        <v>-0.1443537540791231</v>
      </c>
    </row>
    <row r="21" spans="13:29" x14ac:dyDescent="0.35">
      <c r="M21" s="16">
        <v>46265</v>
      </c>
      <c r="N21" s="1" t="s">
        <v>61</v>
      </c>
      <c r="O21" s="1" t="s">
        <v>60</v>
      </c>
      <c r="P21" s="5">
        <v>2781411.7366812322</v>
      </c>
      <c r="Q21" s="5">
        <v>11729.13058376841</v>
      </c>
      <c r="R21" s="5">
        <v>2793140.867265</v>
      </c>
      <c r="S21" s="5">
        <v>546837.40436815843</v>
      </c>
      <c r="T21" s="5">
        <v>69747.203524923592</v>
      </c>
      <c r="U21" s="5">
        <v>616584.60789308208</v>
      </c>
      <c r="V21" s="5">
        <v>2176556.2593719191</v>
      </c>
      <c r="W21" s="2">
        <v>0.77925044342756988</v>
      </c>
      <c r="X21" s="5">
        <v>1365906.254401841</v>
      </c>
      <c r="Y21" s="5">
        <v>867863.93969754432</v>
      </c>
      <c r="Z21" s="5">
        <v>501973.17255365121</v>
      </c>
      <c r="AA21" s="5">
        <v>2735743.3666530359</v>
      </c>
      <c r="AB21" s="5">
        <v>-559187.10728111723</v>
      </c>
      <c r="AC21" s="2">
        <v>-0.2002001094304508</v>
      </c>
    </row>
    <row r="22" spans="13:29" x14ac:dyDescent="0.35">
      <c r="M22" s="16">
        <v>46295</v>
      </c>
      <c r="N22" s="1" t="s">
        <v>63</v>
      </c>
      <c r="O22" s="1" t="s">
        <v>60</v>
      </c>
      <c r="P22" s="5">
        <v>2820361.7249264568</v>
      </c>
      <c r="Q22" s="5">
        <v>1547.8935994293761</v>
      </c>
      <c r="R22" s="5">
        <v>2821909.618525886</v>
      </c>
      <c r="S22" s="5">
        <v>545498.33321469277</v>
      </c>
      <c r="T22" s="5">
        <v>69549.511965959027</v>
      </c>
      <c r="U22" s="5">
        <v>615047.84518065176</v>
      </c>
      <c r="V22" s="5">
        <v>2206861.7733452348</v>
      </c>
      <c r="W22" s="2">
        <v>0.78204551940896627</v>
      </c>
      <c r="X22" s="5">
        <v>1359187.806351908</v>
      </c>
      <c r="Y22" s="5">
        <v>865877.97938048199</v>
      </c>
      <c r="Z22" s="5">
        <v>501345.98932526138</v>
      </c>
      <c r="AA22" s="5">
        <v>2726411.7750576502</v>
      </c>
      <c r="AB22" s="5">
        <v>-519550.00171241577</v>
      </c>
      <c r="AC22" s="2">
        <v>-0.18411291357510559</v>
      </c>
    </row>
    <row r="23" spans="13:29" x14ac:dyDescent="0.35">
      <c r="M23" s="16">
        <v>46326</v>
      </c>
      <c r="N23" s="1" t="s">
        <v>64</v>
      </c>
      <c r="O23" s="1" t="s">
        <v>60</v>
      </c>
      <c r="P23" s="5">
        <v>2843216.4781401278</v>
      </c>
      <c r="Q23" s="5">
        <v>1680.1364932085619</v>
      </c>
      <c r="R23" s="5">
        <v>2844896.6146333371</v>
      </c>
      <c r="S23" s="5">
        <v>544164.29766973271</v>
      </c>
      <c r="T23" s="5">
        <v>69352.447366785476</v>
      </c>
      <c r="U23" s="5">
        <v>613516.7450365182</v>
      </c>
      <c r="V23" s="5">
        <v>2231379.869596818</v>
      </c>
      <c r="W23" s="2">
        <v>0.78434480118512462</v>
      </c>
      <c r="X23" s="5">
        <v>1355049.2865034989</v>
      </c>
      <c r="Y23" s="5">
        <v>863896.92702812504</v>
      </c>
      <c r="Z23" s="5">
        <v>500720.08516614343</v>
      </c>
      <c r="AA23" s="5">
        <v>2719666.2986977678</v>
      </c>
      <c r="AB23" s="5">
        <v>-488286.42910094891</v>
      </c>
      <c r="AC23" s="2">
        <v>-0.17163591344210641</v>
      </c>
    </row>
    <row r="24" spans="13:29" x14ac:dyDescent="0.35">
      <c r="M24" s="16">
        <v>46356</v>
      </c>
      <c r="N24" s="1" t="s">
        <v>65</v>
      </c>
      <c r="O24" s="1" t="s">
        <v>60</v>
      </c>
      <c r="P24" s="5">
        <v>2859644.821528329</v>
      </c>
      <c r="Q24" s="5">
        <v>52155.921287587247</v>
      </c>
      <c r="R24" s="5">
        <v>2911800.742815916</v>
      </c>
      <c r="S24" s="5">
        <v>542835.27874828922</v>
      </c>
      <c r="T24" s="5">
        <v>69156.00773906018</v>
      </c>
      <c r="U24" s="5">
        <v>611991.28648734943</v>
      </c>
      <c r="V24" s="5">
        <v>2299809.4563285671</v>
      </c>
      <c r="W24" s="2">
        <v>0.78982377554601813</v>
      </c>
      <c r="X24" s="5">
        <v>1363430.2762095381</v>
      </c>
      <c r="Y24" s="5">
        <v>861920.77049651078</v>
      </c>
      <c r="Z24" s="5">
        <v>500095.45746777992</v>
      </c>
      <c r="AA24" s="5">
        <v>2725446.5041738292</v>
      </c>
      <c r="AB24" s="5">
        <v>-425637.0478452621</v>
      </c>
      <c r="AC24" s="2">
        <v>-0.14617657093996109</v>
      </c>
    </row>
    <row r="25" spans="13:29" x14ac:dyDescent="0.35">
      <c r="M25" s="16">
        <v>46387</v>
      </c>
      <c r="N25" s="1" t="s">
        <v>66</v>
      </c>
      <c r="O25" s="1" t="s">
        <v>60</v>
      </c>
      <c r="P25" s="5">
        <v>2883471.5009746761</v>
      </c>
      <c r="Q25" s="5">
        <v>52225.302368465993</v>
      </c>
      <c r="R25" s="5">
        <v>2935696.803343141</v>
      </c>
      <c r="S25" s="5">
        <v>541511.25753712945</v>
      </c>
      <c r="T25" s="5">
        <v>68960.191100746189</v>
      </c>
      <c r="U25" s="5">
        <v>610471.44863787561</v>
      </c>
      <c r="V25" s="5">
        <v>2325225.3547052662</v>
      </c>
      <c r="W25" s="2">
        <v>0.7920522828029527</v>
      </c>
      <c r="X25" s="5">
        <v>1359313.9619757719</v>
      </c>
      <c r="Y25" s="5">
        <v>859949.49767176236</v>
      </c>
      <c r="Z25" s="5">
        <v>499472.10362697358</v>
      </c>
      <c r="AA25" s="5">
        <v>2718735.5632745079</v>
      </c>
      <c r="AB25" s="5">
        <v>-393510.20856924262</v>
      </c>
      <c r="AC25" s="2">
        <v>-0.13404320504798631</v>
      </c>
    </row>
  </sheetData>
  <pageMargins left="0.75" right="0.75" top="1" bottom="1" header="0.5" footer="0.5"/>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M33"/>
  <sheetViews>
    <sheetView workbookViewId="0">
      <pane ySplit="1" topLeftCell="A2" activePane="bottomLeft" state="frozen"/>
      <selection pane="bottomLeft"/>
    </sheetView>
  </sheetViews>
  <sheetFormatPr defaultRowHeight="14.5" x14ac:dyDescent="0.35"/>
  <cols>
    <col min="1" max="1" width="14" customWidth="1"/>
    <col min="2" max="2" width="13" customWidth="1"/>
    <col min="3" max="3" width="19" customWidth="1"/>
    <col min="4" max="4" width="12" customWidth="1"/>
    <col min="5" max="5" width="19" customWidth="1"/>
    <col min="6" max="6" width="12" customWidth="1"/>
    <col min="7" max="7" width="13" customWidth="1"/>
    <col min="8" max="8" width="19" customWidth="1"/>
    <col min="9" max="9" width="15" customWidth="1"/>
    <col min="10" max="11" width="18" customWidth="1"/>
    <col min="14" max="14" width="14" customWidth="1"/>
    <col min="15" max="15" width="13" customWidth="1"/>
    <col min="16" max="17" width="12" customWidth="1"/>
    <col min="18" max="18" width="19" customWidth="1"/>
    <col min="19" max="19" width="12" customWidth="1"/>
    <col min="20" max="20" width="13" customWidth="1"/>
    <col min="21" max="21" width="19" customWidth="1"/>
    <col min="22" max="22" width="15" customWidth="1"/>
    <col min="23" max="24" width="18" customWidth="1"/>
    <col min="27" max="27" width="12" customWidth="1"/>
    <col min="28" max="28" width="14" customWidth="1"/>
    <col min="29" max="29" width="13" customWidth="1"/>
    <col min="30" max="30" width="12" customWidth="1"/>
    <col min="31" max="31" width="19" customWidth="1"/>
    <col min="32" max="32" width="12" customWidth="1"/>
    <col min="33" max="33" width="13" customWidth="1"/>
    <col min="34" max="34" width="19" customWidth="1"/>
    <col min="35" max="35" width="15" customWidth="1"/>
    <col min="36" max="37" width="18" customWidth="1"/>
    <col min="40" max="40" width="14" customWidth="1"/>
    <col min="41" max="41" width="13" customWidth="1"/>
    <col min="42" max="42" width="12" customWidth="1"/>
    <col min="43" max="43" width="19" customWidth="1"/>
    <col min="44" max="44" width="12" customWidth="1"/>
    <col min="45" max="45" width="13" customWidth="1"/>
    <col min="46" max="46" width="19" customWidth="1"/>
    <col min="47" max="47" width="15" customWidth="1"/>
    <col min="48" max="49" width="18" customWidth="1"/>
    <col min="51" max="51" width="16" customWidth="1"/>
    <col min="52" max="52" width="14" customWidth="1"/>
    <col min="53" max="53" width="13" customWidth="1"/>
    <col min="54" max="54" width="12" customWidth="1"/>
    <col min="55" max="55" width="19" customWidth="1"/>
    <col min="56" max="56" width="12" customWidth="1"/>
    <col min="58" max="58" width="12" customWidth="1"/>
    <col min="59" max="59" width="16" customWidth="1"/>
    <col min="60" max="61" width="12" customWidth="1"/>
    <col min="62" max="62" width="17" customWidth="1"/>
    <col min="63" max="63" width="15" customWidth="1"/>
    <col min="64" max="64" width="12" customWidth="1"/>
    <col min="65" max="65" width="16" customWidth="1"/>
    <col min="66" max="66" width="25" customWidth="1"/>
    <col min="67" max="67" width="12" customWidth="1"/>
    <col min="68" max="68" width="21" customWidth="1"/>
    <col min="69" max="69" width="20" customWidth="1"/>
    <col min="70" max="70" width="16" customWidth="1"/>
    <col min="72" max="72" width="12" customWidth="1"/>
    <col min="73" max="73" width="14" customWidth="1"/>
    <col min="74" max="74" width="13" customWidth="1"/>
    <col min="75" max="75" width="19" customWidth="1"/>
    <col min="76" max="76" width="12" customWidth="1"/>
    <col min="77" max="77" width="19" customWidth="1"/>
    <col min="78" max="78" width="16" customWidth="1"/>
    <col min="79" max="79" width="12" customWidth="1"/>
    <col min="81" max="81" width="12" customWidth="1"/>
    <col min="82" max="82" width="14" customWidth="1"/>
    <col min="83" max="83" width="13" customWidth="1"/>
    <col min="84" max="84" width="12" customWidth="1"/>
    <col min="85" max="85" width="19" customWidth="1"/>
    <col min="86" max="86" width="12" customWidth="1"/>
    <col min="88" max="88" width="14" customWidth="1"/>
    <col min="89" max="89" width="13" customWidth="1"/>
    <col min="90" max="91" width="12" customWidth="1"/>
  </cols>
  <sheetData>
    <row r="1" spans="1:91" x14ac:dyDescent="0.35">
      <c r="A1" s="15" t="s">
        <v>650</v>
      </c>
      <c r="B1" s="14" t="s">
        <v>618</v>
      </c>
      <c r="C1" s="14" t="s">
        <v>651</v>
      </c>
      <c r="D1" s="14" t="s">
        <v>652</v>
      </c>
      <c r="E1" s="14" t="s">
        <v>653</v>
      </c>
      <c r="F1" s="14" t="s">
        <v>654</v>
      </c>
      <c r="G1" s="14" t="s">
        <v>619</v>
      </c>
      <c r="H1" s="14" t="s">
        <v>655</v>
      </c>
      <c r="I1" s="14" t="s">
        <v>656</v>
      </c>
      <c r="J1" s="14" t="s">
        <v>657</v>
      </c>
      <c r="K1" s="14" t="s">
        <v>658</v>
      </c>
      <c r="N1" s="14" t="s">
        <v>650</v>
      </c>
      <c r="O1" s="14" t="s">
        <v>618</v>
      </c>
      <c r="P1" s="14" t="s">
        <v>620</v>
      </c>
      <c r="Q1" s="14" t="s">
        <v>652</v>
      </c>
      <c r="R1" s="14" t="s">
        <v>653</v>
      </c>
      <c r="S1" s="14" t="s">
        <v>654</v>
      </c>
      <c r="T1" s="14" t="s">
        <v>619</v>
      </c>
      <c r="U1" s="14" t="s">
        <v>655</v>
      </c>
      <c r="V1" s="14" t="s">
        <v>656</v>
      </c>
      <c r="W1" s="14" t="s">
        <v>657</v>
      </c>
      <c r="X1" s="14" t="s">
        <v>658</v>
      </c>
      <c r="AA1" s="14" t="s">
        <v>659</v>
      </c>
      <c r="AB1" s="14" t="s">
        <v>650</v>
      </c>
      <c r="AC1" s="14" t="s">
        <v>618</v>
      </c>
      <c r="AD1" s="14" t="s">
        <v>652</v>
      </c>
      <c r="AE1" s="14" t="s">
        <v>653</v>
      </c>
      <c r="AF1" s="14" t="s">
        <v>654</v>
      </c>
      <c r="AG1" s="14" t="s">
        <v>619</v>
      </c>
      <c r="AH1" s="14" t="s">
        <v>655</v>
      </c>
      <c r="AI1" s="14" t="s">
        <v>656</v>
      </c>
      <c r="AJ1" s="14" t="s">
        <v>657</v>
      </c>
      <c r="AK1" s="14" t="s">
        <v>658</v>
      </c>
      <c r="AN1" s="14" t="s">
        <v>650</v>
      </c>
      <c r="AO1" s="14" t="s">
        <v>618</v>
      </c>
      <c r="AP1" s="14" t="s">
        <v>652</v>
      </c>
      <c r="AQ1" s="14" t="s">
        <v>653</v>
      </c>
      <c r="AR1" s="14" t="s">
        <v>654</v>
      </c>
      <c r="AS1" s="14" t="s">
        <v>619</v>
      </c>
      <c r="AT1" s="14" t="s">
        <v>655</v>
      </c>
      <c r="AU1" s="14" t="s">
        <v>656</v>
      </c>
      <c r="AV1" s="14" t="s">
        <v>657</v>
      </c>
      <c r="AW1" s="14" t="s">
        <v>658</v>
      </c>
      <c r="AY1" s="14" t="s">
        <v>660</v>
      </c>
      <c r="AZ1" s="14" t="s">
        <v>650</v>
      </c>
      <c r="BA1" s="14" t="s">
        <v>618</v>
      </c>
      <c r="BB1" s="14" t="s">
        <v>652</v>
      </c>
      <c r="BC1" s="14" t="s">
        <v>653</v>
      </c>
      <c r="BD1" s="14" t="s">
        <v>654</v>
      </c>
      <c r="BF1" s="14" t="s">
        <v>661</v>
      </c>
      <c r="BG1" s="14" t="s">
        <v>662</v>
      </c>
      <c r="BH1" s="14" t="s">
        <v>663</v>
      </c>
      <c r="BI1" s="14" t="s">
        <v>620</v>
      </c>
      <c r="BJ1" s="14" t="s">
        <v>664</v>
      </c>
      <c r="BK1" s="14" t="s">
        <v>665</v>
      </c>
      <c r="BL1" s="14" t="s">
        <v>666</v>
      </c>
      <c r="BM1" s="14" t="s">
        <v>667</v>
      </c>
      <c r="BN1" s="14" t="s">
        <v>668</v>
      </c>
      <c r="BO1" s="14" t="s">
        <v>626</v>
      </c>
      <c r="BP1" s="14" t="s">
        <v>669</v>
      </c>
      <c r="BQ1" s="14" t="s">
        <v>670</v>
      </c>
      <c r="BR1" s="14" t="s">
        <v>671</v>
      </c>
      <c r="BT1" s="14" t="s">
        <v>545</v>
      </c>
      <c r="BU1" s="14" t="s">
        <v>650</v>
      </c>
      <c r="BV1" s="14" t="s">
        <v>618</v>
      </c>
      <c r="BW1" s="14" t="s">
        <v>651</v>
      </c>
      <c r="BX1" s="14" t="s">
        <v>652</v>
      </c>
      <c r="BY1" s="14" t="s">
        <v>653</v>
      </c>
      <c r="BZ1" s="14" t="s">
        <v>672</v>
      </c>
      <c r="CA1" s="14" t="s">
        <v>654</v>
      </c>
      <c r="CC1" s="14" t="s">
        <v>659</v>
      </c>
      <c r="CD1" s="14" t="s">
        <v>650</v>
      </c>
      <c r="CE1" s="14" t="s">
        <v>618</v>
      </c>
      <c r="CF1" s="14" t="s">
        <v>652</v>
      </c>
      <c r="CG1" s="14" t="s">
        <v>653</v>
      </c>
      <c r="CH1" s="14" t="s">
        <v>654</v>
      </c>
      <c r="CJ1" s="14" t="s">
        <v>650</v>
      </c>
      <c r="CK1" s="14" t="s">
        <v>618</v>
      </c>
      <c r="CL1" s="14" t="s">
        <v>620</v>
      </c>
      <c r="CM1" s="14" t="s">
        <v>652</v>
      </c>
    </row>
    <row r="2" spans="1:91" x14ac:dyDescent="0.35">
      <c r="A2" s="1">
        <v>1</v>
      </c>
      <c r="B2" s="1" t="s">
        <v>210</v>
      </c>
      <c r="C2" s="1" t="s">
        <v>673</v>
      </c>
      <c r="D2" s="13">
        <v>37589315.840000004</v>
      </c>
      <c r="E2" s="13">
        <v>37589315.840000004</v>
      </c>
      <c r="F2" s="13">
        <v>0</v>
      </c>
      <c r="G2" s="1" t="s">
        <v>673</v>
      </c>
      <c r="H2" s="5">
        <v>0</v>
      </c>
      <c r="I2" s="5">
        <v>37589315.840000004</v>
      </c>
      <c r="J2" s="5">
        <v>0</v>
      </c>
      <c r="K2" s="5">
        <v>0</v>
      </c>
      <c r="N2" s="1">
        <v>1</v>
      </c>
      <c r="O2" s="1" t="s">
        <v>222</v>
      </c>
      <c r="P2" s="1" t="s">
        <v>643</v>
      </c>
      <c r="Q2" s="13">
        <v>24911442.949999999</v>
      </c>
      <c r="R2" s="13">
        <v>24911442.949999999</v>
      </c>
      <c r="S2" s="13">
        <v>3.7252902984619141E-9</v>
      </c>
      <c r="T2" s="1" t="s">
        <v>673</v>
      </c>
      <c r="U2" s="5">
        <v>0</v>
      </c>
      <c r="V2" s="5">
        <v>24911442.949999999</v>
      </c>
      <c r="W2" s="5">
        <v>0</v>
      </c>
      <c r="X2" s="5">
        <v>0</v>
      </c>
      <c r="AA2" s="1" t="s">
        <v>175</v>
      </c>
      <c r="AB2" s="1">
        <v>1</v>
      </c>
      <c r="AC2" s="1" t="s">
        <v>232</v>
      </c>
      <c r="AD2" s="13">
        <v>30536909.829999998</v>
      </c>
      <c r="AE2" s="13">
        <v>30536909.829999998</v>
      </c>
      <c r="AF2" s="13">
        <v>0</v>
      </c>
      <c r="AG2" s="1" t="s">
        <v>673</v>
      </c>
      <c r="AH2" s="5">
        <v>0</v>
      </c>
      <c r="AI2" s="5">
        <v>30536909.829999998</v>
      </c>
      <c r="AJ2" s="5">
        <v>0</v>
      </c>
      <c r="AK2" s="5">
        <v>0</v>
      </c>
      <c r="AN2" s="1">
        <v>1</v>
      </c>
      <c r="AO2" s="1" t="s">
        <v>240</v>
      </c>
      <c r="AP2" s="13">
        <v>-5625466.8799999952</v>
      </c>
      <c r="AQ2" s="13">
        <v>-5625466.8799999952</v>
      </c>
      <c r="AR2" s="13">
        <v>2.793967723846436E-9</v>
      </c>
      <c r="AS2" s="1" t="s">
        <v>673</v>
      </c>
      <c r="AT2" s="5">
        <v>0</v>
      </c>
      <c r="AU2" s="5">
        <v>-5625466.8799999952</v>
      </c>
      <c r="AV2" s="5">
        <v>0</v>
      </c>
      <c r="AW2" s="5">
        <v>0</v>
      </c>
      <c r="AY2" s="1" t="s">
        <v>165</v>
      </c>
      <c r="AZ2" s="1">
        <v>1</v>
      </c>
      <c r="BA2" s="1" t="s">
        <v>258</v>
      </c>
      <c r="BB2" s="13">
        <v>926973.59</v>
      </c>
      <c r="BC2" s="13">
        <v>926973.59</v>
      </c>
      <c r="BD2" s="13">
        <v>0</v>
      </c>
      <c r="BF2" s="1" t="s">
        <v>641</v>
      </c>
      <c r="BG2" s="1" t="s">
        <v>179</v>
      </c>
      <c r="BH2" s="1" t="s">
        <v>674</v>
      </c>
      <c r="BI2" s="1" t="s">
        <v>675</v>
      </c>
      <c r="BJ2" s="13">
        <v>214</v>
      </c>
      <c r="BK2" s="13">
        <v>217.66246733183951</v>
      </c>
      <c r="BL2" s="13">
        <v>3.6624673318394798</v>
      </c>
      <c r="BM2" s="12"/>
      <c r="BN2" s="1" t="s">
        <v>676</v>
      </c>
      <c r="BO2" s="1" t="s">
        <v>677</v>
      </c>
      <c r="BP2" s="1">
        <v>1</v>
      </c>
      <c r="BQ2" s="1" t="b">
        <v>1</v>
      </c>
      <c r="BR2" s="1" t="s">
        <v>678</v>
      </c>
      <c r="BT2" s="1" t="s">
        <v>76</v>
      </c>
      <c r="BU2" s="1">
        <v>1</v>
      </c>
      <c r="BV2" s="1" t="s">
        <v>210</v>
      </c>
      <c r="BW2" s="1" t="s">
        <v>673</v>
      </c>
      <c r="BX2" s="13">
        <v>37589315.840000004</v>
      </c>
      <c r="BY2" s="13">
        <v>37589315.840000004</v>
      </c>
      <c r="BZ2" s="1" t="s">
        <v>679</v>
      </c>
      <c r="CA2" s="13">
        <v>0</v>
      </c>
      <c r="CC2" s="1" t="s">
        <v>174</v>
      </c>
      <c r="CD2" s="1">
        <v>1</v>
      </c>
      <c r="CE2" s="1" t="s">
        <v>680</v>
      </c>
      <c r="CF2" s="13">
        <v>5913831.4699999997</v>
      </c>
      <c r="CG2" s="13">
        <v>5913831.4699999997</v>
      </c>
      <c r="CH2" s="13">
        <v>9.3132257461547831E-10</v>
      </c>
      <c r="CJ2" s="1">
        <v>8</v>
      </c>
      <c r="CK2" s="1" t="s">
        <v>252</v>
      </c>
      <c r="CL2" s="1" t="s">
        <v>649</v>
      </c>
      <c r="CM2" s="17">
        <v>0.74069274331201918</v>
      </c>
    </row>
    <row r="3" spans="1:91" x14ac:dyDescent="0.35">
      <c r="A3" s="1">
        <v>2</v>
      </c>
      <c r="B3" s="1" t="s">
        <v>211</v>
      </c>
      <c r="C3" s="1" t="s">
        <v>681</v>
      </c>
      <c r="D3" s="13">
        <v>0</v>
      </c>
      <c r="E3" s="13">
        <v>37589315.840000004</v>
      </c>
      <c r="F3" s="13">
        <v>0</v>
      </c>
      <c r="G3" s="1" t="s">
        <v>682</v>
      </c>
      <c r="H3" s="5">
        <v>37589315.840000004</v>
      </c>
      <c r="I3" s="5">
        <v>0</v>
      </c>
      <c r="J3" s="5">
        <v>0</v>
      </c>
      <c r="K3" s="5">
        <v>0</v>
      </c>
      <c r="N3" s="1">
        <v>2</v>
      </c>
      <c r="O3" s="1" t="s">
        <v>223</v>
      </c>
      <c r="P3" s="1" t="s">
        <v>643</v>
      </c>
      <c r="Q3" s="13">
        <v>-841657.00834862143</v>
      </c>
      <c r="R3" s="13">
        <v>24069785.94165137</v>
      </c>
      <c r="S3" s="13">
        <v>3.7252902984619141E-9</v>
      </c>
      <c r="T3" s="1" t="s">
        <v>682</v>
      </c>
      <c r="U3" s="5">
        <v>24069785.941651382</v>
      </c>
      <c r="V3" s="5">
        <v>0</v>
      </c>
      <c r="W3" s="5">
        <v>0</v>
      </c>
      <c r="X3" s="5">
        <v>841657.00834862143</v>
      </c>
      <c r="AA3" s="1" t="s">
        <v>175</v>
      </c>
      <c r="AB3" s="1">
        <v>2</v>
      </c>
      <c r="AC3" s="1" t="s">
        <v>233</v>
      </c>
      <c r="AD3" s="13">
        <v>2409941.953037763</v>
      </c>
      <c r="AE3" s="13">
        <v>32946851.783037759</v>
      </c>
      <c r="AF3" s="13">
        <v>0</v>
      </c>
      <c r="AG3" s="1" t="s">
        <v>682</v>
      </c>
      <c r="AH3" s="5">
        <v>30536909.829999998</v>
      </c>
      <c r="AI3" s="5">
        <v>0</v>
      </c>
      <c r="AJ3" s="5">
        <v>2409941.953037763</v>
      </c>
      <c r="AK3" s="5">
        <v>0</v>
      </c>
      <c r="AN3" s="1">
        <v>2</v>
      </c>
      <c r="AO3" s="1" t="s">
        <v>241</v>
      </c>
      <c r="AP3" s="13">
        <v>-425016.07124917948</v>
      </c>
      <c r="AQ3" s="13">
        <v>-6050482.9512491748</v>
      </c>
      <c r="AR3" s="13">
        <v>2.793967723846436E-9</v>
      </c>
      <c r="AS3" s="1" t="s">
        <v>682</v>
      </c>
      <c r="AT3" s="5">
        <v>-6050482.9512491748</v>
      </c>
      <c r="AU3" s="5">
        <v>0</v>
      </c>
      <c r="AV3" s="5">
        <v>0</v>
      </c>
      <c r="AW3" s="5">
        <v>425016.07124917948</v>
      </c>
      <c r="AY3" s="1" t="s">
        <v>165</v>
      </c>
      <c r="AZ3" s="1">
        <v>2</v>
      </c>
      <c r="BA3" s="1" t="s">
        <v>259</v>
      </c>
      <c r="BB3" s="13">
        <v>-35328.628793961369</v>
      </c>
      <c r="BC3" s="13">
        <v>891644.9612060386</v>
      </c>
      <c r="BD3" s="13">
        <v>0</v>
      </c>
      <c r="BF3" s="1" t="s">
        <v>683</v>
      </c>
      <c r="BG3" s="1" t="s">
        <v>684</v>
      </c>
      <c r="BH3" s="1" t="s">
        <v>159</v>
      </c>
      <c r="BI3" s="1" t="s">
        <v>685</v>
      </c>
      <c r="BJ3" s="13">
        <v>7406.9274331201914</v>
      </c>
      <c r="BK3" s="13">
        <v>7835.9291533380756</v>
      </c>
      <c r="BL3" s="13">
        <v>429.00172021788421</v>
      </c>
      <c r="BM3" s="12"/>
      <c r="BN3" s="1" t="s">
        <v>686</v>
      </c>
      <c r="BO3" s="1" t="s">
        <v>644</v>
      </c>
      <c r="BP3" s="1">
        <v>1</v>
      </c>
      <c r="BQ3" s="1" t="b">
        <v>1</v>
      </c>
      <c r="BR3" s="1" t="s">
        <v>687</v>
      </c>
      <c r="BT3" s="1" t="s">
        <v>76</v>
      </c>
      <c r="BU3" s="1">
        <v>2</v>
      </c>
      <c r="BV3" s="1" t="s">
        <v>211</v>
      </c>
      <c r="BW3" s="1" t="s">
        <v>681</v>
      </c>
      <c r="BX3" s="13">
        <v>0</v>
      </c>
      <c r="BY3" s="13">
        <v>37589315.840000004</v>
      </c>
      <c r="BZ3" s="1" t="s">
        <v>679</v>
      </c>
      <c r="CA3" s="13">
        <v>0</v>
      </c>
      <c r="CC3" s="1" t="s">
        <v>174</v>
      </c>
      <c r="CD3" s="1">
        <v>2</v>
      </c>
      <c r="CE3" s="1" t="s">
        <v>688</v>
      </c>
      <c r="CF3" s="13">
        <v>471621.68375822197</v>
      </c>
      <c r="CG3" s="13">
        <v>6385453.1537582222</v>
      </c>
      <c r="CH3" s="13">
        <v>9.3132257461547831E-10</v>
      </c>
      <c r="CJ3" s="1">
        <v>9</v>
      </c>
      <c r="CK3" s="1" t="s">
        <v>253</v>
      </c>
      <c r="CL3" s="1" t="s">
        <v>649</v>
      </c>
      <c r="CM3" s="17">
        <v>0.78359291533380759</v>
      </c>
    </row>
    <row r="4" spans="1:91" x14ac:dyDescent="0.35">
      <c r="A4" s="1">
        <v>3</v>
      </c>
      <c r="B4" s="1" t="s">
        <v>212</v>
      </c>
      <c r="C4" s="1" t="s">
        <v>689</v>
      </c>
      <c r="D4" s="13">
        <v>-2793686.4864355521</v>
      </c>
      <c r="E4" s="13">
        <v>34795629.353564449</v>
      </c>
      <c r="F4" s="13">
        <v>0</v>
      </c>
      <c r="G4" s="1" t="s">
        <v>682</v>
      </c>
      <c r="H4" s="5">
        <v>34795629.353564449</v>
      </c>
      <c r="I4" s="5">
        <v>0</v>
      </c>
      <c r="J4" s="5">
        <v>0</v>
      </c>
      <c r="K4" s="5">
        <v>2793686.4864355521</v>
      </c>
      <c r="N4" s="1">
        <v>3</v>
      </c>
      <c r="O4" s="1" t="s">
        <v>224</v>
      </c>
      <c r="P4" s="1" t="s">
        <v>643</v>
      </c>
      <c r="Q4" s="13">
        <v>1315484.1402001069</v>
      </c>
      <c r="R4" s="13">
        <v>25385270.081851479</v>
      </c>
      <c r="S4" s="13">
        <v>3.7252902984619141E-9</v>
      </c>
      <c r="T4" s="1" t="s">
        <v>682</v>
      </c>
      <c r="U4" s="5">
        <v>24069785.941651382</v>
      </c>
      <c r="V4" s="5">
        <v>0</v>
      </c>
      <c r="W4" s="5">
        <v>1315484.1402001069</v>
      </c>
      <c r="X4" s="5">
        <v>0</v>
      </c>
      <c r="AA4" s="1" t="s">
        <v>175</v>
      </c>
      <c r="AB4" s="1">
        <v>3</v>
      </c>
      <c r="AC4" s="1" t="s">
        <v>234</v>
      </c>
      <c r="AD4" s="13">
        <v>-98267.105790866277</v>
      </c>
      <c r="AE4" s="13">
        <v>32848584.677246898</v>
      </c>
      <c r="AF4" s="13">
        <v>0</v>
      </c>
      <c r="AG4" s="1" t="s">
        <v>682</v>
      </c>
      <c r="AH4" s="5">
        <v>32848584.677246898</v>
      </c>
      <c r="AI4" s="5">
        <v>0</v>
      </c>
      <c r="AJ4" s="5">
        <v>0</v>
      </c>
      <c r="AK4" s="5">
        <v>98267.105790866277</v>
      </c>
      <c r="AN4" s="1">
        <v>3</v>
      </c>
      <c r="AO4" s="1" t="s">
        <v>242</v>
      </c>
      <c r="AP4" s="13">
        <v>-416640.93709944747</v>
      </c>
      <c r="AQ4" s="13">
        <v>-6467123.8883486222</v>
      </c>
      <c r="AR4" s="13">
        <v>2.793967723846436E-9</v>
      </c>
      <c r="AS4" s="1" t="s">
        <v>682</v>
      </c>
      <c r="AT4" s="5">
        <v>-6467123.8883486222</v>
      </c>
      <c r="AU4" s="5">
        <v>0</v>
      </c>
      <c r="AV4" s="5">
        <v>0</v>
      </c>
      <c r="AW4" s="5">
        <v>416640.93709944747</v>
      </c>
      <c r="AY4" s="1" t="s">
        <v>165</v>
      </c>
      <c r="AZ4" s="1">
        <v>3</v>
      </c>
      <c r="BA4" s="1" t="s">
        <v>260</v>
      </c>
      <c r="BB4" s="13">
        <v>-415162.74646994373</v>
      </c>
      <c r="BC4" s="13">
        <v>476482.21473609487</v>
      </c>
      <c r="BD4" s="13">
        <v>0</v>
      </c>
      <c r="BF4" s="1" t="s">
        <v>548</v>
      </c>
      <c r="BG4" s="1" t="s">
        <v>145</v>
      </c>
      <c r="BH4" s="1" t="s">
        <v>159</v>
      </c>
      <c r="BI4" s="1" t="s">
        <v>643</v>
      </c>
      <c r="BJ4" s="13">
        <v>6000000</v>
      </c>
      <c r="BK4" s="13">
        <v>3206313.5135644479</v>
      </c>
      <c r="BL4" s="13">
        <v>-2793686.4864355521</v>
      </c>
      <c r="BM4" s="12">
        <v>-0.46561441440592538</v>
      </c>
      <c r="BN4" s="1" t="s">
        <v>690</v>
      </c>
      <c r="BO4" s="1" t="s">
        <v>644</v>
      </c>
      <c r="BP4" s="1">
        <v>1</v>
      </c>
      <c r="BQ4" s="1" t="b">
        <v>1</v>
      </c>
      <c r="BR4" s="1" t="s">
        <v>678</v>
      </c>
      <c r="BT4" s="1" t="s">
        <v>76</v>
      </c>
      <c r="BU4" s="1">
        <v>3</v>
      </c>
      <c r="BV4" s="1" t="s">
        <v>212</v>
      </c>
      <c r="BW4" s="1" t="s">
        <v>689</v>
      </c>
      <c r="BX4" s="13">
        <v>-2793686.4864355521</v>
      </c>
      <c r="BY4" s="13">
        <v>34795629.353564449</v>
      </c>
      <c r="BZ4" s="1" t="s">
        <v>679</v>
      </c>
      <c r="CA4" s="13">
        <v>0</v>
      </c>
      <c r="CC4" s="1" t="s">
        <v>174</v>
      </c>
      <c r="CD4" s="1">
        <v>4</v>
      </c>
      <c r="CE4" s="1" t="s">
        <v>691</v>
      </c>
      <c r="CF4" s="13">
        <v>-420793.37000000011</v>
      </c>
      <c r="CG4" s="13">
        <v>5964659.7837582221</v>
      </c>
      <c r="CH4" s="13">
        <v>9.3132257461547831E-10</v>
      </c>
      <c r="CJ4" s="1">
        <v>10</v>
      </c>
      <c r="CK4" s="1" t="s">
        <v>254</v>
      </c>
      <c r="CL4" s="1" t="s">
        <v>685</v>
      </c>
      <c r="CM4" s="17">
        <v>429.00172021788421</v>
      </c>
    </row>
    <row r="5" spans="1:91" x14ac:dyDescent="0.35">
      <c r="A5" s="1">
        <v>4</v>
      </c>
      <c r="B5" s="1" t="s">
        <v>213</v>
      </c>
      <c r="C5" s="1" t="s">
        <v>692</v>
      </c>
      <c r="D5" s="13">
        <v>1538102.552951446</v>
      </c>
      <c r="E5" s="13">
        <v>36333731.906515896</v>
      </c>
      <c r="F5" s="13">
        <v>0</v>
      </c>
      <c r="G5" s="1" t="s">
        <v>682</v>
      </c>
      <c r="H5" s="5">
        <v>34795629.353564449</v>
      </c>
      <c r="I5" s="5">
        <v>0</v>
      </c>
      <c r="J5" s="5">
        <v>1538102.552951446</v>
      </c>
      <c r="K5" s="5">
        <v>0</v>
      </c>
      <c r="N5" s="1">
        <v>4</v>
      </c>
      <c r="O5" s="1" t="s">
        <v>225</v>
      </c>
      <c r="P5" s="1" t="s">
        <v>643</v>
      </c>
      <c r="Q5" s="13">
        <v>345292.49000000022</v>
      </c>
      <c r="R5" s="13">
        <v>25730562.571851481</v>
      </c>
      <c r="S5" s="13">
        <v>3.7252902984619141E-9</v>
      </c>
      <c r="T5" s="1" t="s">
        <v>682</v>
      </c>
      <c r="U5" s="5">
        <v>25385270.08185149</v>
      </c>
      <c r="V5" s="5">
        <v>0</v>
      </c>
      <c r="W5" s="5">
        <v>345292.49000000022</v>
      </c>
      <c r="X5" s="5">
        <v>0</v>
      </c>
      <c r="AA5" s="1" t="s">
        <v>175</v>
      </c>
      <c r="AB5" s="1">
        <v>4</v>
      </c>
      <c r="AC5" s="1" t="s">
        <v>235</v>
      </c>
      <c r="AD5" s="13">
        <v>-1440123.530000001</v>
      </c>
      <c r="AE5" s="13">
        <v>31408461.147246901</v>
      </c>
      <c r="AF5" s="13">
        <v>0</v>
      </c>
      <c r="AG5" s="1" t="s">
        <v>682</v>
      </c>
      <c r="AH5" s="5">
        <v>31408461.147246901</v>
      </c>
      <c r="AI5" s="5">
        <v>0</v>
      </c>
      <c r="AJ5" s="5">
        <v>0</v>
      </c>
      <c r="AK5" s="5">
        <v>1440123.530000001</v>
      </c>
      <c r="AN5" s="1">
        <v>4</v>
      </c>
      <c r="AO5" s="1" t="s">
        <v>243</v>
      </c>
      <c r="AP5" s="13">
        <v>1660776.6302001071</v>
      </c>
      <c r="AQ5" s="13">
        <v>-4806347.2581485156</v>
      </c>
      <c r="AR5" s="13">
        <v>2.793967723846436E-9</v>
      </c>
      <c r="AS5" s="1" t="s">
        <v>682</v>
      </c>
      <c r="AT5" s="5">
        <v>-6467123.8883486222</v>
      </c>
      <c r="AU5" s="5">
        <v>0</v>
      </c>
      <c r="AV5" s="5">
        <v>1660776.6302001071</v>
      </c>
      <c r="AW5" s="5">
        <v>0</v>
      </c>
      <c r="AY5" s="1" t="s">
        <v>165</v>
      </c>
      <c r="AZ5" s="1">
        <v>4</v>
      </c>
      <c r="BA5" s="1" t="s">
        <v>261</v>
      </c>
      <c r="BB5" s="13">
        <v>33850.438164457497</v>
      </c>
      <c r="BC5" s="13">
        <v>510332.65290055249</v>
      </c>
      <c r="BD5" s="13">
        <v>0</v>
      </c>
      <c r="BF5" s="1" t="s">
        <v>693</v>
      </c>
      <c r="BG5" s="1" t="s">
        <v>342</v>
      </c>
      <c r="BH5" s="1" t="s">
        <v>674</v>
      </c>
      <c r="BI5" s="1" t="s">
        <v>643</v>
      </c>
      <c r="BJ5" s="13">
        <v>37589315.840000004</v>
      </c>
      <c r="BK5" s="13">
        <v>34816416.564797662</v>
      </c>
      <c r="BL5" s="13">
        <v>-2772899.2752023409</v>
      </c>
      <c r="BM5" s="12">
        <v>-7.3768282641941796E-2</v>
      </c>
      <c r="BN5" s="1" t="s">
        <v>690</v>
      </c>
      <c r="BO5" s="1" t="s">
        <v>644</v>
      </c>
      <c r="BP5" s="1">
        <v>2</v>
      </c>
      <c r="BQ5" s="1" t="b">
        <v>1</v>
      </c>
      <c r="BR5" s="1" t="s">
        <v>694</v>
      </c>
      <c r="BT5" s="1" t="s">
        <v>76</v>
      </c>
      <c r="BU5" s="1">
        <v>4</v>
      </c>
      <c r="BV5" s="1" t="s">
        <v>213</v>
      </c>
      <c r="BW5" s="1" t="s">
        <v>692</v>
      </c>
      <c r="BX5" s="13">
        <v>1538102.552951446</v>
      </c>
      <c r="BY5" s="13">
        <v>36333731.906515896</v>
      </c>
      <c r="BZ5" s="1" t="s">
        <v>679</v>
      </c>
      <c r="CA5" s="13">
        <v>0</v>
      </c>
      <c r="CC5" s="1" t="s">
        <v>174</v>
      </c>
      <c r="CD5" s="1">
        <v>5</v>
      </c>
      <c r="CE5" s="1" t="s">
        <v>695</v>
      </c>
      <c r="CF5" s="13">
        <v>5964659.7837582212</v>
      </c>
      <c r="CG5" s="13">
        <v>5964659.7837582212</v>
      </c>
      <c r="CH5" s="13">
        <v>9.3132257461547831E-10</v>
      </c>
    </row>
    <row r="6" spans="1:91" x14ac:dyDescent="0.35">
      <c r="A6" s="1">
        <v>5</v>
      </c>
      <c r="B6" s="1" t="s">
        <v>214</v>
      </c>
      <c r="C6" s="1" t="s">
        <v>696</v>
      </c>
      <c r="D6" s="13">
        <v>-88950.320000000036</v>
      </c>
      <c r="E6" s="13">
        <v>36244781.586515903</v>
      </c>
      <c r="F6" s="13">
        <v>0</v>
      </c>
      <c r="G6" s="1" t="s">
        <v>682</v>
      </c>
      <c r="H6" s="5">
        <v>36244781.586515903</v>
      </c>
      <c r="I6" s="5">
        <v>0</v>
      </c>
      <c r="J6" s="5">
        <v>0</v>
      </c>
      <c r="K6" s="5">
        <v>88950.320000000036</v>
      </c>
      <c r="N6" s="1">
        <v>5</v>
      </c>
      <c r="O6" s="1" t="s">
        <v>226</v>
      </c>
      <c r="P6" s="1" t="s">
        <v>643</v>
      </c>
      <c r="Q6" s="13">
        <v>-44082.68573582219</v>
      </c>
      <c r="R6" s="13">
        <v>25686479.886115659</v>
      </c>
      <c r="S6" s="13">
        <v>3.7252902984619141E-9</v>
      </c>
      <c r="T6" s="1" t="s">
        <v>682</v>
      </c>
      <c r="U6" s="5">
        <v>25686479.886115659</v>
      </c>
      <c r="V6" s="5">
        <v>0</v>
      </c>
      <c r="W6" s="5">
        <v>0</v>
      </c>
      <c r="X6" s="5">
        <v>44082.68573582219</v>
      </c>
      <c r="AA6" s="1" t="s">
        <v>175</v>
      </c>
      <c r="AB6" s="1">
        <v>5</v>
      </c>
      <c r="AC6" s="1" t="s">
        <v>236</v>
      </c>
      <c r="AD6" s="13">
        <v>31408461.147246901</v>
      </c>
      <c r="AE6" s="13">
        <v>31408461.147246901</v>
      </c>
      <c r="AF6" s="13">
        <v>0</v>
      </c>
      <c r="AG6" s="1" t="s">
        <v>697</v>
      </c>
      <c r="AH6" s="5">
        <v>0</v>
      </c>
      <c r="AI6" s="5">
        <v>31408461.147246901</v>
      </c>
      <c r="AJ6" s="5">
        <v>0</v>
      </c>
      <c r="AK6" s="5">
        <v>0</v>
      </c>
      <c r="AN6" s="1">
        <v>5</v>
      </c>
      <c r="AO6" s="1" t="s">
        <v>244</v>
      </c>
      <c r="AP6" s="13">
        <v>-35790.595735822222</v>
      </c>
      <c r="AQ6" s="13">
        <v>-4842137.8538843365</v>
      </c>
      <c r="AR6" s="13">
        <v>2.793967723846436E-9</v>
      </c>
      <c r="AS6" s="1" t="s">
        <v>682</v>
      </c>
      <c r="AT6" s="5">
        <v>-4842137.8538843365</v>
      </c>
      <c r="AU6" s="5">
        <v>0</v>
      </c>
      <c r="AV6" s="5">
        <v>0</v>
      </c>
      <c r="AW6" s="5">
        <v>35790.595735822222</v>
      </c>
      <c r="AY6" s="1" t="s">
        <v>165</v>
      </c>
      <c r="AZ6" s="1">
        <v>5</v>
      </c>
      <c r="BA6" s="1" t="s">
        <v>262</v>
      </c>
      <c r="BB6" s="13">
        <v>510332.65290055249</v>
      </c>
      <c r="BC6" s="13">
        <v>510332.65290055249</v>
      </c>
      <c r="BD6" s="13">
        <v>0</v>
      </c>
      <c r="BF6" s="1" t="s">
        <v>634</v>
      </c>
      <c r="BG6" s="1" t="s">
        <v>172</v>
      </c>
      <c r="BH6" s="1" t="s">
        <v>159</v>
      </c>
      <c r="BI6" s="1" t="s">
        <v>643</v>
      </c>
      <c r="BJ6" s="13">
        <v>14482767.92</v>
      </c>
      <c r="BK6" s="13">
        <v>15383920.06136246</v>
      </c>
      <c r="BL6" s="13">
        <v>901152.14136246219</v>
      </c>
      <c r="BM6" s="12">
        <v>6.2222369808053998E-2</v>
      </c>
      <c r="BN6" s="1" t="s">
        <v>690</v>
      </c>
      <c r="BO6" s="1" t="s">
        <v>646</v>
      </c>
      <c r="BP6" s="1">
        <v>3</v>
      </c>
      <c r="BQ6" s="1" t="b">
        <v>1</v>
      </c>
      <c r="BR6" s="1" t="s">
        <v>678</v>
      </c>
      <c r="BT6" s="1" t="s">
        <v>76</v>
      </c>
      <c r="BU6" s="1">
        <v>5</v>
      </c>
      <c r="BV6" s="1" t="s">
        <v>214</v>
      </c>
      <c r="BW6" s="1" t="s">
        <v>696</v>
      </c>
      <c r="BX6" s="13">
        <v>-88950.320000000036</v>
      </c>
      <c r="BY6" s="13">
        <v>36244781.586515903</v>
      </c>
      <c r="BZ6" s="1" t="s">
        <v>679</v>
      </c>
      <c r="CA6" s="13">
        <v>0</v>
      </c>
      <c r="CC6" s="1" t="s">
        <v>173</v>
      </c>
      <c r="CD6" s="1">
        <v>1</v>
      </c>
      <c r="CE6" s="1" t="s">
        <v>698</v>
      </c>
      <c r="CF6" s="13">
        <v>10140310.439999999</v>
      </c>
      <c r="CG6" s="13">
        <v>10140310.439999999</v>
      </c>
      <c r="CH6" s="13">
        <v>0</v>
      </c>
    </row>
    <row r="7" spans="1:91" x14ac:dyDescent="0.35">
      <c r="A7" s="1">
        <v>6</v>
      </c>
      <c r="B7" s="1" t="s">
        <v>215</v>
      </c>
      <c r="C7" s="1" t="s">
        <v>699</v>
      </c>
      <c r="D7" s="13">
        <v>-1219395.3143991921</v>
      </c>
      <c r="E7" s="13">
        <v>35025386.272116713</v>
      </c>
      <c r="F7" s="13">
        <v>0</v>
      </c>
      <c r="G7" s="1" t="s">
        <v>682</v>
      </c>
      <c r="H7" s="5">
        <v>35025386.272116713</v>
      </c>
      <c r="I7" s="5">
        <v>0</v>
      </c>
      <c r="J7" s="5">
        <v>0</v>
      </c>
      <c r="K7" s="5">
        <v>1219395.3143991921</v>
      </c>
      <c r="N7" s="1">
        <v>6</v>
      </c>
      <c r="O7" s="1" t="s">
        <v>227</v>
      </c>
      <c r="P7" s="1" t="s">
        <v>643</v>
      </c>
      <c r="Q7" s="13">
        <v>8292.0900000000111</v>
      </c>
      <c r="R7" s="13">
        <v>25694771.976115659</v>
      </c>
      <c r="S7" s="13">
        <v>3.7252902984619141E-9</v>
      </c>
      <c r="T7" s="1" t="s">
        <v>682</v>
      </c>
      <c r="U7" s="5">
        <v>25686479.886115659</v>
      </c>
      <c r="V7" s="5">
        <v>0</v>
      </c>
      <c r="W7" s="5">
        <v>8292.0900000000111</v>
      </c>
      <c r="X7" s="5">
        <v>0</v>
      </c>
      <c r="AN7" s="1">
        <v>6</v>
      </c>
      <c r="AO7" s="1" t="s">
        <v>245</v>
      </c>
      <c r="AP7" s="13">
        <v>-901152.14136246219</v>
      </c>
      <c r="AQ7" s="13">
        <v>-5743289.9952467997</v>
      </c>
      <c r="AR7" s="13">
        <v>2.793967723846436E-9</v>
      </c>
      <c r="AS7" s="1" t="s">
        <v>682</v>
      </c>
      <c r="AT7" s="5">
        <v>-5743289.9952467997</v>
      </c>
      <c r="AU7" s="5">
        <v>0</v>
      </c>
      <c r="AV7" s="5">
        <v>0</v>
      </c>
      <c r="AW7" s="5">
        <v>901152.14136246219</v>
      </c>
      <c r="AY7" s="1" t="s">
        <v>164</v>
      </c>
      <c r="AZ7" s="1">
        <v>1</v>
      </c>
      <c r="BA7" s="1" t="s">
        <v>263</v>
      </c>
      <c r="BB7" s="13">
        <v>32705653.670000002</v>
      </c>
      <c r="BC7" s="13">
        <v>32705653.670000002</v>
      </c>
      <c r="BD7" s="13">
        <v>0</v>
      </c>
      <c r="BF7" s="1" t="s">
        <v>637</v>
      </c>
      <c r="BG7" s="1" t="s">
        <v>175</v>
      </c>
      <c r="BH7" s="1" t="s">
        <v>159</v>
      </c>
      <c r="BI7" s="1" t="s">
        <v>643</v>
      </c>
      <c r="BJ7" s="13">
        <v>30536909.829999998</v>
      </c>
      <c r="BK7" s="13">
        <v>31408461.147246901</v>
      </c>
      <c r="BL7" s="13">
        <v>871551.31724689901</v>
      </c>
      <c r="BM7" s="12">
        <v>2.8540913998792099E-2</v>
      </c>
      <c r="BN7" s="1" t="s">
        <v>690</v>
      </c>
      <c r="BO7" s="1" t="s">
        <v>646</v>
      </c>
      <c r="BP7" s="1">
        <v>4</v>
      </c>
      <c r="BQ7" s="1" t="b">
        <v>1</v>
      </c>
      <c r="BR7" s="1" t="s">
        <v>678</v>
      </c>
      <c r="BT7" s="1" t="s">
        <v>76</v>
      </c>
      <c r="BU7" s="1">
        <v>6</v>
      </c>
      <c r="BV7" s="1" t="s">
        <v>215</v>
      </c>
      <c r="BW7" s="1" t="s">
        <v>699</v>
      </c>
      <c r="BX7" s="13">
        <v>-1219395.3143991921</v>
      </c>
      <c r="BY7" s="13">
        <v>35025386.272116713</v>
      </c>
      <c r="BZ7" s="1" t="s">
        <v>679</v>
      </c>
      <c r="CA7" s="13">
        <v>0</v>
      </c>
      <c r="CC7" s="1" t="s">
        <v>173</v>
      </c>
      <c r="CD7" s="1">
        <v>2</v>
      </c>
      <c r="CE7" s="1" t="s">
        <v>688</v>
      </c>
      <c r="CF7" s="13">
        <v>103856.02212621459</v>
      </c>
      <c r="CG7" s="13">
        <v>10244166.46212621</v>
      </c>
      <c r="CH7" s="13">
        <v>0</v>
      </c>
    </row>
    <row r="8" spans="1:91" x14ac:dyDescent="0.35">
      <c r="A8" s="1">
        <v>7</v>
      </c>
      <c r="B8" s="1" t="s">
        <v>216</v>
      </c>
      <c r="C8" s="1" t="s">
        <v>700</v>
      </c>
      <c r="D8" s="13">
        <v>-208969.70731904401</v>
      </c>
      <c r="E8" s="13">
        <v>34816416.564797662</v>
      </c>
      <c r="F8" s="13">
        <v>0</v>
      </c>
      <c r="G8" s="1" t="s">
        <v>682</v>
      </c>
      <c r="H8" s="5">
        <v>34816416.564797662</v>
      </c>
      <c r="I8" s="5">
        <v>0</v>
      </c>
      <c r="J8" s="5">
        <v>0</v>
      </c>
      <c r="K8" s="5">
        <v>208969.70731904401</v>
      </c>
      <c r="N8" s="1">
        <v>7</v>
      </c>
      <c r="O8" s="1" t="s">
        <v>228</v>
      </c>
      <c r="P8" s="1" t="s">
        <v>643</v>
      </c>
      <c r="Q8" s="13">
        <v>25694771.976115659</v>
      </c>
      <c r="R8" s="13">
        <v>25694771.976115659</v>
      </c>
      <c r="S8" s="13">
        <v>3.7252902984619141E-9</v>
      </c>
      <c r="T8" s="1" t="s">
        <v>697</v>
      </c>
      <c r="U8" s="5">
        <v>0</v>
      </c>
      <c r="V8" s="5">
        <v>25694771.976115659</v>
      </c>
      <c r="W8" s="5">
        <v>0</v>
      </c>
      <c r="X8" s="5">
        <v>0</v>
      </c>
      <c r="AN8" s="1">
        <v>7</v>
      </c>
      <c r="AO8" s="1" t="s">
        <v>246</v>
      </c>
      <c r="AP8" s="13">
        <v>80429.13787378557</v>
      </c>
      <c r="AQ8" s="13">
        <v>-5662860.8573730141</v>
      </c>
      <c r="AR8" s="13">
        <v>2.793967723846436E-9</v>
      </c>
      <c r="AS8" s="1" t="s">
        <v>682</v>
      </c>
      <c r="AT8" s="5">
        <v>-5743289.9952467997</v>
      </c>
      <c r="AU8" s="5">
        <v>0</v>
      </c>
      <c r="AV8" s="5">
        <v>80429.13787378557</v>
      </c>
      <c r="AW8" s="5">
        <v>0</v>
      </c>
      <c r="AY8" s="1" t="s">
        <v>164</v>
      </c>
      <c r="AZ8" s="1">
        <v>2</v>
      </c>
      <c r="BA8" s="1" t="s">
        <v>264</v>
      </c>
      <c r="BB8" s="13">
        <v>-1.1666715145110999E-3</v>
      </c>
      <c r="BC8" s="13">
        <v>32705653.66883333</v>
      </c>
      <c r="BD8" s="13">
        <v>0</v>
      </c>
      <c r="BF8" s="1" t="s">
        <v>629</v>
      </c>
      <c r="BG8" s="1" t="s">
        <v>701</v>
      </c>
      <c r="BH8" s="1" t="s">
        <v>159</v>
      </c>
      <c r="BI8" s="1" t="s">
        <v>643</v>
      </c>
      <c r="BJ8" s="13">
        <v>33632627.259999998</v>
      </c>
      <c r="BK8" s="13">
        <v>32790970.25165138</v>
      </c>
      <c r="BL8" s="13">
        <v>-841657.00834862143</v>
      </c>
      <c r="BM8" s="12">
        <v>-2.5025015198548599E-2</v>
      </c>
      <c r="BN8" s="1" t="s">
        <v>690</v>
      </c>
      <c r="BO8" s="1" t="s">
        <v>644</v>
      </c>
      <c r="BP8" s="1">
        <v>5</v>
      </c>
      <c r="BQ8" s="1" t="b">
        <v>1</v>
      </c>
      <c r="BR8" s="1" t="s">
        <v>678</v>
      </c>
      <c r="BT8" s="1" t="s">
        <v>76</v>
      </c>
      <c r="BU8" s="1">
        <v>7</v>
      </c>
      <c r="BV8" s="1" t="s">
        <v>216</v>
      </c>
      <c r="BW8" s="1" t="s">
        <v>700</v>
      </c>
      <c r="BX8" s="13">
        <v>-208969.70731904401</v>
      </c>
      <c r="BY8" s="13">
        <v>34816416.564797662</v>
      </c>
      <c r="BZ8" s="1" t="s">
        <v>679</v>
      </c>
      <c r="CA8" s="13">
        <v>0</v>
      </c>
      <c r="CC8" s="1" t="s">
        <v>173</v>
      </c>
      <c r="CD8" s="1">
        <v>4</v>
      </c>
      <c r="CE8" s="1" t="s">
        <v>691</v>
      </c>
      <c r="CF8" s="13">
        <v>-184285.15999999989</v>
      </c>
      <c r="CG8" s="13">
        <v>10059881.30212621</v>
      </c>
      <c r="CH8" s="13">
        <v>0</v>
      </c>
    </row>
    <row r="9" spans="1:91" x14ac:dyDescent="0.35">
      <c r="A9" s="1">
        <v>8</v>
      </c>
      <c r="B9" s="1" t="s">
        <v>217</v>
      </c>
      <c r="C9" s="1" t="s">
        <v>673</v>
      </c>
      <c r="D9" s="13">
        <v>34816416.564797662</v>
      </c>
      <c r="E9" s="13">
        <v>34816416.564797662</v>
      </c>
      <c r="F9" s="13">
        <v>0</v>
      </c>
      <c r="G9" s="1" t="s">
        <v>697</v>
      </c>
      <c r="H9" s="5">
        <v>0</v>
      </c>
      <c r="I9" s="5">
        <v>34816416.564797662</v>
      </c>
      <c r="J9" s="5">
        <v>0</v>
      </c>
      <c r="K9" s="5">
        <v>0</v>
      </c>
      <c r="AN9" s="1">
        <v>8</v>
      </c>
      <c r="AO9" s="1" t="s">
        <v>247</v>
      </c>
      <c r="AP9" s="13">
        <v>-50828.313758221448</v>
      </c>
      <c r="AQ9" s="13">
        <v>-5713689.1711312355</v>
      </c>
      <c r="AR9" s="13">
        <v>2.793967723846436E-9</v>
      </c>
      <c r="AS9" s="1" t="s">
        <v>682</v>
      </c>
      <c r="AT9" s="5">
        <v>-5713689.1711312355</v>
      </c>
      <c r="AU9" s="5">
        <v>0</v>
      </c>
      <c r="AV9" s="5">
        <v>0</v>
      </c>
      <c r="AW9" s="5">
        <v>50828.313758221448</v>
      </c>
      <c r="AY9" s="1" t="s">
        <v>164</v>
      </c>
      <c r="AZ9" s="1">
        <v>3</v>
      </c>
      <c r="BA9" s="1" t="s">
        <v>265</v>
      </c>
      <c r="BB9" s="13">
        <v>-425016.07908251142</v>
      </c>
      <c r="BC9" s="13">
        <v>32280637.589750819</v>
      </c>
      <c r="BD9" s="13">
        <v>0</v>
      </c>
      <c r="BF9" s="1" t="s">
        <v>633</v>
      </c>
      <c r="BG9" s="1" t="s">
        <v>170</v>
      </c>
      <c r="BH9" s="1" t="s">
        <v>159</v>
      </c>
      <c r="BI9" s="1" t="s">
        <v>643</v>
      </c>
      <c r="BJ9" s="13">
        <v>24911442.949999999</v>
      </c>
      <c r="BK9" s="13">
        <v>25694771.976115659</v>
      </c>
      <c r="BL9" s="13">
        <v>783329.02611566335</v>
      </c>
      <c r="BM9" s="12">
        <v>3.1444546495676302E-2</v>
      </c>
      <c r="BN9" s="1" t="s">
        <v>686</v>
      </c>
      <c r="BO9" s="1" t="s">
        <v>644</v>
      </c>
      <c r="BP9" s="1">
        <v>6</v>
      </c>
      <c r="BQ9" s="1" t="b">
        <v>1</v>
      </c>
      <c r="BR9" s="1" t="s">
        <v>687</v>
      </c>
      <c r="BT9" s="1" t="s">
        <v>76</v>
      </c>
      <c r="BU9" s="1">
        <v>8</v>
      </c>
      <c r="BV9" s="1" t="s">
        <v>217</v>
      </c>
      <c r="BW9" s="1" t="s">
        <v>673</v>
      </c>
      <c r="BX9" s="13">
        <v>34816416.564797662</v>
      </c>
      <c r="BY9" s="13">
        <v>34816416.564797662</v>
      </c>
      <c r="BZ9" s="1" t="s">
        <v>679</v>
      </c>
      <c r="CA9" s="13">
        <v>0</v>
      </c>
      <c r="CC9" s="1" t="s">
        <v>173</v>
      </c>
      <c r="CD9" s="1">
        <v>5</v>
      </c>
      <c r="CE9" s="1" t="s">
        <v>702</v>
      </c>
      <c r="CF9" s="13">
        <v>10059881.30212621</v>
      </c>
      <c r="CG9" s="13">
        <v>10059881.30212621</v>
      </c>
      <c r="CH9" s="13">
        <v>0</v>
      </c>
    </row>
    <row r="10" spans="1:91" x14ac:dyDescent="0.35">
      <c r="AN10" s="1">
        <v>9</v>
      </c>
      <c r="AO10" s="1" t="s">
        <v>248</v>
      </c>
      <c r="AP10" s="13">
        <v>-5713689.1711312383</v>
      </c>
      <c r="AQ10" s="13">
        <v>-5713689.1711312383</v>
      </c>
      <c r="AR10" s="13">
        <v>2.793967723846436E-9</v>
      </c>
      <c r="AS10" s="1" t="s">
        <v>697</v>
      </c>
      <c r="AT10" s="5">
        <v>0</v>
      </c>
      <c r="AU10" s="5">
        <v>-5713689.1711312383</v>
      </c>
      <c r="AV10" s="5">
        <v>0</v>
      </c>
      <c r="AW10" s="5">
        <v>0</v>
      </c>
      <c r="AY10" s="1" t="s">
        <v>164</v>
      </c>
      <c r="AZ10" s="1">
        <v>4</v>
      </c>
      <c r="BA10" s="1" t="s">
        <v>261</v>
      </c>
      <c r="BB10" s="13">
        <v>9.0000033378601005E-3</v>
      </c>
      <c r="BC10" s="13">
        <v>32280637.598750819</v>
      </c>
      <c r="BD10" s="13">
        <v>0</v>
      </c>
      <c r="BF10" s="1" t="s">
        <v>638</v>
      </c>
      <c r="BG10" s="1" t="s">
        <v>176</v>
      </c>
      <c r="BH10" s="1" t="s">
        <v>159</v>
      </c>
      <c r="BI10" s="1" t="s">
        <v>643</v>
      </c>
      <c r="BJ10" s="13">
        <v>-5625466.8799999952</v>
      </c>
      <c r="BK10" s="13">
        <v>-5713689.1711312383</v>
      </c>
      <c r="BL10" s="13">
        <v>-88222.29113124311</v>
      </c>
      <c r="BM10" s="12">
        <v>-1.5682661192957401E-2</v>
      </c>
      <c r="BN10" s="1" t="s">
        <v>690</v>
      </c>
      <c r="BO10" s="1" t="s">
        <v>644</v>
      </c>
      <c r="BP10" s="1">
        <v>7</v>
      </c>
      <c r="BQ10" s="1" t="b">
        <v>0</v>
      </c>
      <c r="BR10" s="1" t="s">
        <v>703</v>
      </c>
      <c r="BT10" s="1" t="s">
        <v>77</v>
      </c>
      <c r="BU10" s="1">
        <v>1</v>
      </c>
      <c r="BV10" s="1" t="s">
        <v>210</v>
      </c>
      <c r="BW10" s="1" t="s">
        <v>673</v>
      </c>
      <c r="BX10" s="13">
        <v>6832655.7797481492</v>
      </c>
      <c r="BY10" s="13">
        <v>6832655.7797481492</v>
      </c>
      <c r="BZ10" s="1" t="s">
        <v>704</v>
      </c>
      <c r="CA10" s="13">
        <v>0</v>
      </c>
      <c r="CC10" s="1" t="s">
        <v>172</v>
      </c>
      <c r="CD10" s="1">
        <v>1</v>
      </c>
      <c r="CE10" s="1" t="s">
        <v>705</v>
      </c>
      <c r="CF10" s="13">
        <v>14482767.92</v>
      </c>
      <c r="CG10" s="13">
        <v>14482767.92</v>
      </c>
      <c r="CH10" s="13">
        <v>-1.862645149230957E-9</v>
      </c>
    </row>
    <row r="11" spans="1:91" x14ac:dyDescent="0.35">
      <c r="AY11" s="1" t="s">
        <v>164</v>
      </c>
      <c r="AZ11" s="1">
        <v>5</v>
      </c>
      <c r="BA11" s="1" t="s">
        <v>266</v>
      </c>
      <c r="BB11" s="13">
        <v>32280637.598750819</v>
      </c>
      <c r="BC11" s="13">
        <v>32280637.598750819</v>
      </c>
      <c r="BD11" s="13">
        <v>0</v>
      </c>
      <c r="BF11" s="1" t="s">
        <v>635</v>
      </c>
      <c r="BG11" s="1" t="s">
        <v>173</v>
      </c>
      <c r="BH11" s="1" t="s">
        <v>159</v>
      </c>
      <c r="BI11" s="1" t="s">
        <v>643</v>
      </c>
      <c r="BJ11" s="13">
        <v>10140310.439999999</v>
      </c>
      <c r="BK11" s="13">
        <v>10059881.30212621</v>
      </c>
      <c r="BL11" s="13">
        <v>-80429.13787378557</v>
      </c>
      <c r="BM11" s="12">
        <v>-7.9316248106684993E-3</v>
      </c>
      <c r="BN11" s="1" t="s">
        <v>686</v>
      </c>
      <c r="BO11" s="1" t="s">
        <v>646</v>
      </c>
      <c r="BP11" s="1">
        <v>8</v>
      </c>
      <c r="BQ11" s="1" t="b">
        <v>0</v>
      </c>
      <c r="BR11" s="1" t="s">
        <v>678</v>
      </c>
      <c r="BT11" s="1" t="s">
        <v>77</v>
      </c>
      <c r="BU11" s="1">
        <v>2</v>
      </c>
      <c r="BV11" s="1" t="s">
        <v>211</v>
      </c>
      <c r="BW11" s="1" t="s">
        <v>681</v>
      </c>
      <c r="BX11" s="13">
        <v>0</v>
      </c>
      <c r="BY11" s="13">
        <v>6832655.7797481492</v>
      </c>
      <c r="BZ11" s="1" t="s">
        <v>679</v>
      </c>
      <c r="CA11" s="13">
        <v>0</v>
      </c>
      <c r="CC11" s="1" t="s">
        <v>172</v>
      </c>
      <c r="CD11" s="1">
        <v>2</v>
      </c>
      <c r="CE11" s="1" t="s">
        <v>688</v>
      </c>
      <c r="CF11" s="13">
        <v>1834464.2471533271</v>
      </c>
      <c r="CG11" s="13">
        <v>16317232.167153331</v>
      </c>
      <c r="CH11" s="13">
        <v>-1.862645149230957E-9</v>
      </c>
    </row>
    <row r="12" spans="1:91" x14ac:dyDescent="0.35">
      <c r="AY12" s="1" t="s">
        <v>166</v>
      </c>
      <c r="AZ12" s="1">
        <v>1</v>
      </c>
      <c r="BA12" s="1" t="s">
        <v>267</v>
      </c>
      <c r="BB12" s="13">
        <v>33632627.260000013</v>
      </c>
      <c r="BC12" s="13">
        <v>33632627.260000013</v>
      </c>
      <c r="BD12" s="13">
        <v>0</v>
      </c>
      <c r="BF12" s="1" t="s">
        <v>636</v>
      </c>
      <c r="BG12" s="1" t="s">
        <v>174</v>
      </c>
      <c r="BH12" s="1" t="s">
        <v>159</v>
      </c>
      <c r="BI12" s="1" t="s">
        <v>643</v>
      </c>
      <c r="BJ12" s="13">
        <v>5913831.4699999997</v>
      </c>
      <c r="BK12" s="13">
        <v>5964659.7837582212</v>
      </c>
      <c r="BL12" s="13">
        <v>50828.313758221448</v>
      </c>
      <c r="BM12" s="12">
        <v>8.5948194526790003E-3</v>
      </c>
      <c r="BN12" s="1" t="s">
        <v>690</v>
      </c>
      <c r="BO12" s="1" t="s">
        <v>646</v>
      </c>
      <c r="BP12" s="1">
        <v>9</v>
      </c>
      <c r="BQ12" s="1" t="b">
        <v>0</v>
      </c>
      <c r="BR12" s="1" t="s">
        <v>678</v>
      </c>
      <c r="BT12" s="1" t="s">
        <v>77</v>
      </c>
      <c r="BU12" s="1">
        <v>3</v>
      </c>
      <c r="BV12" s="1" t="s">
        <v>212</v>
      </c>
      <c r="BW12" s="1" t="s">
        <v>689</v>
      </c>
      <c r="BX12" s="13">
        <v>-976401.73822004639</v>
      </c>
      <c r="BY12" s="13">
        <v>5856254.0415281029</v>
      </c>
      <c r="BZ12" s="1" t="s">
        <v>704</v>
      </c>
      <c r="CA12" s="13">
        <v>0</v>
      </c>
      <c r="CC12" s="1" t="s">
        <v>172</v>
      </c>
      <c r="CD12" s="1">
        <v>3</v>
      </c>
      <c r="CE12" s="1" t="s">
        <v>234</v>
      </c>
      <c r="CF12" s="13">
        <v>-98267.105790866277</v>
      </c>
      <c r="CG12" s="13">
        <v>16218965.06136246</v>
      </c>
      <c r="CH12" s="13">
        <v>-1.862645149230957E-9</v>
      </c>
    </row>
    <row r="13" spans="1:91" x14ac:dyDescent="0.35">
      <c r="AY13" s="1" t="s">
        <v>166</v>
      </c>
      <c r="AZ13" s="1">
        <v>2</v>
      </c>
      <c r="BA13" s="1" t="s">
        <v>268</v>
      </c>
      <c r="BB13" s="13">
        <v>-35328.629960632883</v>
      </c>
      <c r="BC13" s="13">
        <v>33597298.630039372</v>
      </c>
      <c r="BD13" s="13">
        <v>0</v>
      </c>
      <c r="BT13" s="1" t="s">
        <v>77</v>
      </c>
      <c r="BU13" s="1">
        <v>4</v>
      </c>
      <c r="BV13" s="1" t="s">
        <v>213</v>
      </c>
      <c r="BW13" s="1" t="s">
        <v>692</v>
      </c>
      <c r="BX13" s="13">
        <v>-193911.71798628481</v>
      </c>
      <c r="BY13" s="13">
        <v>5662342.3235418182</v>
      </c>
      <c r="BZ13" s="1" t="s">
        <v>704</v>
      </c>
      <c r="CA13" s="13">
        <v>0</v>
      </c>
      <c r="CC13" s="1" t="s">
        <v>172</v>
      </c>
      <c r="CD13" s="1">
        <v>4</v>
      </c>
      <c r="CE13" s="1" t="s">
        <v>691</v>
      </c>
      <c r="CF13" s="13">
        <v>-835045.00000000093</v>
      </c>
      <c r="CG13" s="13">
        <v>15383920.06136246</v>
      </c>
      <c r="CH13" s="13">
        <v>-1.862645149230957E-9</v>
      </c>
    </row>
    <row r="14" spans="1:91" x14ac:dyDescent="0.35">
      <c r="AY14" s="1" t="s">
        <v>166</v>
      </c>
      <c r="AZ14" s="1">
        <v>3</v>
      </c>
      <c r="BA14" s="1" t="s">
        <v>269</v>
      </c>
      <c r="BB14" s="13">
        <v>-840178.82555245503</v>
      </c>
      <c r="BC14" s="13">
        <v>32757119.804486919</v>
      </c>
      <c r="BD14" s="13">
        <v>0</v>
      </c>
      <c r="BT14" s="1" t="s">
        <v>77</v>
      </c>
      <c r="BU14" s="1">
        <v>5</v>
      </c>
      <c r="BV14" s="1" t="s">
        <v>214</v>
      </c>
      <c r="BW14" s="1" t="s">
        <v>696</v>
      </c>
      <c r="BX14" s="13">
        <v>64154.895395769963</v>
      </c>
      <c r="BY14" s="13">
        <v>5726497.2189375879</v>
      </c>
      <c r="BZ14" s="1" t="s">
        <v>704</v>
      </c>
      <c r="CA14" s="13">
        <v>0</v>
      </c>
      <c r="CC14" s="1" t="s">
        <v>172</v>
      </c>
      <c r="CD14" s="1">
        <v>5</v>
      </c>
      <c r="CE14" s="1" t="s">
        <v>706</v>
      </c>
      <c r="CF14" s="13">
        <v>15383920.06136246</v>
      </c>
      <c r="CG14" s="13">
        <v>15383920.06136246</v>
      </c>
      <c r="CH14" s="13">
        <v>-1.862645149230957E-9</v>
      </c>
    </row>
    <row r="15" spans="1:91" x14ac:dyDescent="0.35">
      <c r="AY15" s="1" t="s">
        <v>166</v>
      </c>
      <c r="AZ15" s="1">
        <v>4</v>
      </c>
      <c r="BA15" s="1" t="s">
        <v>270</v>
      </c>
      <c r="BB15" s="13">
        <v>33850.447164460842</v>
      </c>
      <c r="BC15" s="13">
        <v>32790970.25165138</v>
      </c>
      <c r="BD15" s="13">
        <v>0</v>
      </c>
      <c r="BT15" s="1" t="s">
        <v>77</v>
      </c>
      <c r="BU15" s="1">
        <v>6</v>
      </c>
      <c r="BV15" s="1" t="s">
        <v>215</v>
      </c>
      <c r="BW15" s="1" t="s">
        <v>699</v>
      </c>
      <c r="BX15" s="13">
        <v>-45617.859342990298</v>
      </c>
      <c r="BY15" s="13">
        <v>5680879.3595945965</v>
      </c>
      <c r="BZ15" s="1" t="s">
        <v>704</v>
      </c>
      <c r="CA15" s="13">
        <v>0</v>
      </c>
      <c r="CC15" s="1" t="s">
        <v>175</v>
      </c>
      <c r="CD15" s="1">
        <v>1</v>
      </c>
      <c r="CE15" s="1" t="s">
        <v>232</v>
      </c>
      <c r="CF15" s="13">
        <v>30536909.829999998</v>
      </c>
      <c r="CG15" s="13">
        <v>30536909.829999998</v>
      </c>
      <c r="CH15" s="13">
        <v>0</v>
      </c>
    </row>
    <row r="16" spans="1:91" x14ac:dyDescent="0.35">
      <c r="AY16" s="1" t="s">
        <v>166</v>
      </c>
      <c r="AZ16" s="1">
        <v>5</v>
      </c>
      <c r="BA16" s="1" t="s">
        <v>271</v>
      </c>
      <c r="BB16" s="13">
        <v>32790970.25165138</v>
      </c>
      <c r="BC16" s="13">
        <v>32790970.25165138</v>
      </c>
      <c r="BD16" s="13">
        <v>0</v>
      </c>
      <c r="BT16" s="1" t="s">
        <v>77</v>
      </c>
      <c r="BU16" s="1">
        <v>7</v>
      </c>
      <c r="BV16" s="1" t="s">
        <v>216</v>
      </c>
      <c r="BW16" s="1" t="s">
        <v>700</v>
      </c>
      <c r="BX16" s="13">
        <v>-848000.02626687055</v>
      </c>
      <c r="BY16" s="13">
        <v>4832879.3333277274</v>
      </c>
      <c r="BZ16" s="1" t="s">
        <v>704</v>
      </c>
      <c r="CA16" s="13">
        <v>0</v>
      </c>
      <c r="CC16" s="1" t="s">
        <v>175</v>
      </c>
      <c r="CD16" s="1">
        <v>2</v>
      </c>
      <c r="CE16" s="1" t="s">
        <v>233</v>
      </c>
      <c r="CF16" s="13">
        <v>2409941.953037763</v>
      </c>
      <c r="CG16" s="13">
        <v>32946851.783037759</v>
      </c>
      <c r="CH16" s="13">
        <v>0</v>
      </c>
    </row>
    <row r="17" spans="72:86" x14ac:dyDescent="0.35">
      <c r="BT17" s="1" t="s">
        <v>77</v>
      </c>
      <c r="BU17" s="1">
        <v>8</v>
      </c>
      <c r="BV17" s="1" t="s">
        <v>217</v>
      </c>
      <c r="BW17" s="1" t="s">
        <v>673</v>
      </c>
      <c r="BX17" s="13">
        <v>4832879.3333277274</v>
      </c>
      <c r="BY17" s="13">
        <v>4832879.3333277274</v>
      </c>
      <c r="BZ17" s="1" t="s">
        <v>704</v>
      </c>
      <c r="CA17" s="13">
        <v>0</v>
      </c>
      <c r="CC17" s="1" t="s">
        <v>175</v>
      </c>
      <c r="CD17" s="1">
        <v>3</v>
      </c>
      <c r="CE17" s="1" t="s">
        <v>234</v>
      </c>
      <c r="CF17" s="13">
        <v>-98267.105790866277</v>
      </c>
      <c r="CG17" s="13">
        <v>32848584.677246898</v>
      </c>
      <c r="CH17" s="13">
        <v>0</v>
      </c>
    </row>
    <row r="18" spans="72:86" x14ac:dyDescent="0.35">
      <c r="BT18" s="1" t="s">
        <v>78</v>
      </c>
      <c r="BU18" s="1">
        <v>1</v>
      </c>
      <c r="BV18" s="1" t="s">
        <v>210</v>
      </c>
      <c r="BW18" s="1" t="s">
        <v>673</v>
      </c>
      <c r="BX18" s="13">
        <v>16972446.178813759</v>
      </c>
      <c r="BY18" s="13">
        <v>16972446.178813759</v>
      </c>
      <c r="BZ18" s="1" t="s">
        <v>704</v>
      </c>
      <c r="CA18" s="13">
        <v>3.7252902984619141E-9</v>
      </c>
      <c r="CC18" s="1" t="s">
        <v>175</v>
      </c>
      <c r="CD18" s="1">
        <v>4</v>
      </c>
      <c r="CE18" s="1" t="s">
        <v>235</v>
      </c>
      <c r="CF18" s="13">
        <v>-1440123.530000001</v>
      </c>
      <c r="CG18" s="13">
        <v>31408461.147246901</v>
      </c>
      <c r="CH18" s="13">
        <v>0</v>
      </c>
    </row>
    <row r="19" spans="72:86" x14ac:dyDescent="0.35">
      <c r="BT19" s="1" t="s">
        <v>78</v>
      </c>
      <c r="BU19" s="1">
        <v>2</v>
      </c>
      <c r="BV19" s="1" t="s">
        <v>211</v>
      </c>
      <c r="BW19" s="1" t="s">
        <v>681</v>
      </c>
      <c r="BX19" s="13">
        <v>0</v>
      </c>
      <c r="BY19" s="13">
        <v>16972446.178813759</v>
      </c>
      <c r="BZ19" s="1" t="s">
        <v>679</v>
      </c>
      <c r="CA19" s="13">
        <v>3.7252902984619141E-9</v>
      </c>
      <c r="CC19" s="1" t="s">
        <v>175</v>
      </c>
      <c r="CD19" s="1">
        <v>5</v>
      </c>
      <c r="CE19" s="1" t="s">
        <v>236</v>
      </c>
      <c r="CF19" s="13">
        <v>31408461.147246901</v>
      </c>
      <c r="CG19" s="13">
        <v>31408461.147246901</v>
      </c>
      <c r="CH19" s="13">
        <v>0</v>
      </c>
    </row>
    <row r="20" spans="72:86" x14ac:dyDescent="0.35">
      <c r="BT20" s="1" t="s">
        <v>78</v>
      </c>
      <c r="BU20" s="1">
        <v>3</v>
      </c>
      <c r="BV20" s="1" t="s">
        <v>212</v>
      </c>
      <c r="BW20" s="1" t="s">
        <v>689</v>
      </c>
      <c r="BX20" s="13">
        <v>-1190580.5519306441</v>
      </c>
      <c r="BY20" s="13">
        <v>15781865.626883119</v>
      </c>
      <c r="BZ20" s="1" t="s">
        <v>704</v>
      </c>
      <c r="CA20" s="13">
        <v>3.7252902984619141E-9</v>
      </c>
    </row>
    <row r="21" spans="72:86" x14ac:dyDescent="0.35">
      <c r="BT21" s="1" t="s">
        <v>78</v>
      </c>
      <c r="BU21" s="1">
        <v>4</v>
      </c>
      <c r="BV21" s="1" t="s">
        <v>213</v>
      </c>
      <c r="BW21" s="1" t="s">
        <v>692</v>
      </c>
      <c r="BX21" s="13">
        <v>1862782.685816779</v>
      </c>
      <c r="BY21" s="13">
        <v>17644648.312699899</v>
      </c>
      <c r="BZ21" s="1" t="s">
        <v>704</v>
      </c>
      <c r="CA21" s="13">
        <v>3.7252902984619141E-9</v>
      </c>
    </row>
    <row r="22" spans="72:86" x14ac:dyDescent="0.35">
      <c r="BT22" s="1" t="s">
        <v>78</v>
      </c>
      <c r="BU22" s="1">
        <v>5</v>
      </c>
      <c r="BV22" s="1" t="s">
        <v>214</v>
      </c>
      <c r="BW22" s="1" t="s">
        <v>696</v>
      </c>
      <c r="BX22" s="13">
        <v>-76244.93474888007</v>
      </c>
      <c r="BY22" s="13">
        <v>17568403.377951011</v>
      </c>
      <c r="BZ22" s="1" t="s">
        <v>704</v>
      </c>
      <c r="CA22" s="13">
        <v>3.7252902984619141E-9</v>
      </c>
    </row>
    <row r="23" spans="72:86" x14ac:dyDescent="0.35">
      <c r="BT23" s="1" t="s">
        <v>78</v>
      </c>
      <c r="BU23" s="1">
        <v>6</v>
      </c>
      <c r="BV23" s="1" t="s">
        <v>215</v>
      </c>
      <c r="BW23" s="1" t="s">
        <v>699</v>
      </c>
      <c r="BX23" s="13">
        <v>-932760.28688165359</v>
      </c>
      <c r="BY23" s="13">
        <v>16635643.091069359</v>
      </c>
      <c r="BZ23" s="1" t="s">
        <v>704</v>
      </c>
      <c r="CA23" s="13">
        <v>3.7252902984619141E-9</v>
      </c>
    </row>
    <row r="24" spans="72:86" x14ac:dyDescent="0.35">
      <c r="BT24" s="1" t="s">
        <v>78</v>
      </c>
      <c r="BU24" s="1">
        <v>7</v>
      </c>
      <c r="BV24" s="1" t="s">
        <v>216</v>
      </c>
      <c r="BW24" s="1" t="s">
        <v>700</v>
      </c>
      <c r="BX24" s="13">
        <v>336324.24518629268</v>
      </c>
      <c r="BY24" s="13">
        <v>16971967.336255651</v>
      </c>
      <c r="BZ24" s="1" t="s">
        <v>704</v>
      </c>
      <c r="CA24" s="13">
        <v>3.7252902984619141E-9</v>
      </c>
    </row>
    <row r="25" spans="72:86" x14ac:dyDescent="0.35">
      <c r="BT25" s="1" t="s">
        <v>78</v>
      </c>
      <c r="BU25" s="1">
        <v>8</v>
      </c>
      <c r="BV25" s="1" t="s">
        <v>217</v>
      </c>
      <c r="BW25" s="1" t="s">
        <v>673</v>
      </c>
      <c r="BX25" s="13">
        <v>16971967.336255651</v>
      </c>
      <c r="BY25" s="13">
        <v>16971967.336255651</v>
      </c>
      <c r="BZ25" s="1" t="s">
        <v>704</v>
      </c>
      <c r="CA25" s="13">
        <v>3.7252902984619141E-9</v>
      </c>
    </row>
    <row r="26" spans="72:86" x14ac:dyDescent="0.35">
      <c r="BT26" s="1" t="s">
        <v>79</v>
      </c>
      <c r="BU26" s="1">
        <v>1</v>
      </c>
      <c r="BV26" s="1" t="s">
        <v>210</v>
      </c>
      <c r="BW26" s="1" t="s">
        <v>673</v>
      </c>
      <c r="BX26" s="13">
        <v>13784213.88143809</v>
      </c>
      <c r="BY26" s="13">
        <v>13784213.88143809</v>
      </c>
      <c r="BZ26" s="1" t="s">
        <v>704</v>
      </c>
      <c r="CA26" s="13">
        <v>-1.862645149230957E-9</v>
      </c>
    </row>
    <row r="27" spans="72:86" x14ac:dyDescent="0.35">
      <c r="BT27" s="1" t="s">
        <v>79</v>
      </c>
      <c r="BU27" s="1">
        <v>2</v>
      </c>
      <c r="BV27" s="1" t="s">
        <v>211</v>
      </c>
      <c r="BW27" s="1" t="s">
        <v>681</v>
      </c>
      <c r="BX27" s="13">
        <v>0</v>
      </c>
      <c r="BY27" s="13">
        <v>13784213.88143809</v>
      </c>
      <c r="BZ27" s="1" t="s">
        <v>679</v>
      </c>
      <c r="CA27" s="13">
        <v>-1.862645149230957E-9</v>
      </c>
    </row>
    <row r="28" spans="72:86" x14ac:dyDescent="0.35">
      <c r="BT28" s="1" t="s">
        <v>79</v>
      </c>
      <c r="BU28" s="1">
        <v>3</v>
      </c>
      <c r="BV28" s="1" t="s">
        <v>212</v>
      </c>
      <c r="BW28" s="1" t="s">
        <v>689</v>
      </c>
      <c r="BX28" s="13">
        <v>-626704.19628486258</v>
      </c>
      <c r="BY28" s="13">
        <v>13157509.685153229</v>
      </c>
      <c r="BZ28" s="1" t="s">
        <v>704</v>
      </c>
      <c r="CA28" s="13">
        <v>-1.862645149230957E-9</v>
      </c>
    </row>
    <row r="29" spans="72:86" x14ac:dyDescent="0.35">
      <c r="BT29" s="1" t="s">
        <v>79</v>
      </c>
      <c r="BU29" s="1">
        <v>4</v>
      </c>
      <c r="BV29" s="1" t="s">
        <v>213</v>
      </c>
      <c r="BW29" s="1" t="s">
        <v>692</v>
      </c>
      <c r="BX29" s="13">
        <v>-130768.41487904621</v>
      </c>
      <c r="BY29" s="13">
        <v>13026741.270274181</v>
      </c>
      <c r="BZ29" s="1" t="s">
        <v>704</v>
      </c>
      <c r="CA29" s="13">
        <v>-1.862645149230957E-9</v>
      </c>
    </row>
    <row r="30" spans="72:86" x14ac:dyDescent="0.35">
      <c r="BT30" s="1" t="s">
        <v>79</v>
      </c>
      <c r="BU30" s="1">
        <v>5</v>
      </c>
      <c r="BV30" s="1" t="s">
        <v>214</v>
      </c>
      <c r="BW30" s="1" t="s">
        <v>696</v>
      </c>
      <c r="BX30" s="13">
        <v>-76860.280646889951</v>
      </c>
      <c r="BY30" s="13">
        <v>12949880.989627291</v>
      </c>
      <c r="BZ30" s="1" t="s">
        <v>704</v>
      </c>
      <c r="CA30" s="13">
        <v>-1.862645149230957E-9</v>
      </c>
    </row>
    <row r="31" spans="72:86" x14ac:dyDescent="0.35">
      <c r="BT31" s="1" t="s">
        <v>79</v>
      </c>
      <c r="BU31" s="1">
        <v>6</v>
      </c>
      <c r="BV31" s="1" t="s">
        <v>215</v>
      </c>
      <c r="BW31" s="1" t="s">
        <v>699</v>
      </c>
      <c r="BX31" s="13">
        <v>-241017.16817454741</v>
      </c>
      <c r="BY31" s="13">
        <v>12708863.821452741</v>
      </c>
      <c r="BZ31" s="1" t="s">
        <v>704</v>
      </c>
      <c r="CA31" s="13">
        <v>-1.862645149230957E-9</v>
      </c>
    </row>
    <row r="32" spans="72:86" x14ac:dyDescent="0.35">
      <c r="BT32" s="1" t="s">
        <v>79</v>
      </c>
      <c r="BU32" s="1">
        <v>7</v>
      </c>
      <c r="BV32" s="1" t="s">
        <v>216</v>
      </c>
      <c r="BW32" s="1" t="s">
        <v>700</v>
      </c>
      <c r="BX32" s="13">
        <v>302706.07376153412</v>
      </c>
      <c r="BY32" s="13">
        <v>13011569.89521428</v>
      </c>
      <c r="BZ32" s="1" t="s">
        <v>704</v>
      </c>
      <c r="CA32" s="13">
        <v>-1.862645149230957E-9</v>
      </c>
    </row>
    <row r="33" spans="72:79" x14ac:dyDescent="0.35">
      <c r="BT33" s="1" t="s">
        <v>79</v>
      </c>
      <c r="BU33" s="1">
        <v>8</v>
      </c>
      <c r="BV33" s="1" t="s">
        <v>217</v>
      </c>
      <c r="BW33" s="1" t="s">
        <v>673</v>
      </c>
      <c r="BX33" s="13">
        <v>13011569.89521428</v>
      </c>
      <c r="BY33" s="13">
        <v>13011569.89521428</v>
      </c>
      <c r="BZ33" s="1" t="s">
        <v>704</v>
      </c>
      <c r="CA33" s="13">
        <v>-1.862645149230957E-9</v>
      </c>
    </row>
  </sheetData>
  <pageMargins left="0.75" right="0.75" top="1" bottom="1" header="0.5" footer="0.5"/>
  <tableParts count="9">
    <tablePart r:id="rId1"/>
    <tablePart r:id="rId2"/>
    <tablePart r:id="rId3"/>
    <tablePart r:id="rId4"/>
    <tablePart r:id="rId5"/>
    <tablePart r:id="rId6"/>
    <tablePart r:id="rId7"/>
    <tablePart r:id="rId8"/>
    <tablePart r:id="rId9"/>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G39"/>
  <sheetViews>
    <sheetView workbookViewId="0">
      <pane ySplit="1" topLeftCell="A2" activePane="bottomLeft" state="frozen"/>
      <selection pane="bottomLeft"/>
    </sheetView>
  </sheetViews>
  <sheetFormatPr defaultRowHeight="14.5" x14ac:dyDescent="0.35"/>
  <cols>
    <col min="1" max="1" width="12" customWidth="1"/>
    <col min="2" max="2" width="21" customWidth="1"/>
    <col min="3" max="3" width="18" customWidth="1"/>
    <col min="4" max="4" width="27" customWidth="1"/>
    <col min="5" max="5" width="21" customWidth="1"/>
    <col min="6" max="7" width="17" customWidth="1"/>
    <col min="8" max="8" width="27" customWidth="1"/>
    <col min="9" max="9" width="24" customWidth="1"/>
    <col min="10" max="10" width="19" customWidth="1"/>
    <col min="11" max="11" width="29" customWidth="1"/>
    <col min="12" max="12" width="18" customWidth="1"/>
    <col min="13" max="13" width="23" customWidth="1"/>
    <col min="14" max="14" width="25" customWidth="1"/>
    <col min="15" max="15" width="32" customWidth="1"/>
    <col min="16" max="16" width="33" customWidth="1"/>
    <col min="17" max="17" width="24" customWidth="1"/>
    <col min="19" max="19" width="18" customWidth="1"/>
    <col min="20" max="20" width="15" customWidth="1"/>
    <col min="21" max="23" width="12" customWidth="1"/>
    <col min="26" max="26" width="19" customWidth="1"/>
    <col min="27" max="27" width="15" customWidth="1"/>
    <col min="28" max="29" width="12" customWidth="1"/>
    <col min="30" max="30" width="15" customWidth="1"/>
    <col min="31" max="33" width="12" customWidth="1"/>
  </cols>
  <sheetData>
    <row r="1" spans="1:33" x14ac:dyDescent="0.35">
      <c r="A1" s="15" t="s">
        <v>707</v>
      </c>
      <c r="B1" s="14" t="s">
        <v>708</v>
      </c>
      <c r="C1" s="14" t="s">
        <v>709</v>
      </c>
      <c r="D1" s="14" t="s">
        <v>710</v>
      </c>
      <c r="E1" s="14" t="s">
        <v>711</v>
      </c>
      <c r="F1" s="14" t="s">
        <v>712</v>
      </c>
      <c r="G1" s="14" t="s">
        <v>713</v>
      </c>
      <c r="H1" s="14" t="s">
        <v>714</v>
      </c>
      <c r="I1" s="14" t="s">
        <v>715</v>
      </c>
      <c r="J1" s="14" t="s">
        <v>716</v>
      </c>
      <c r="K1" s="14" t="s">
        <v>717</v>
      </c>
      <c r="L1" s="14" t="s">
        <v>718</v>
      </c>
      <c r="M1" s="14" t="s">
        <v>719</v>
      </c>
      <c r="N1" s="14" t="s">
        <v>720</v>
      </c>
      <c r="O1" s="14" t="s">
        <v>721</v>
      </c>
      <c r="P1" s="14" t="s">
        <v>722</v>
      </c>
      <c r="Q1" s="14" t="s">
        <v>723</v>
      </c>
      <c r="S1" s="14" t="s">
        <v>543</v>
      </c>
      <c r="T1" s="14" t="s">
        <v>544</v>
      </c>
      <c r="U1" s="14" t="s">
        <v>275</v>
      </c>
      <c r="V1" s="14" t="s">
        <v>276</v>
      </c>
      <c r="W1" s="14" t="s">
        <v>277</v>
      </c>
      <c r="Z1" s="14" t="s">
        <v>651</v>
      </c>
      <c r="AA1" s="14" t="s">
        <v>724</v>
      </c>
      <c r="AB1" s="14" t="s">
        <v>545</v>
      </c>
      <c r="AC1" s="14" t="s">
        <v>620</v>
      </c>
      <c r="AD1" s="14" t="s">
        <v>725</v>
      </c>
      <c r="AE1" s="14" t="s">
        <v>275</v>
      </c>
      <c r="AF1" s="14" t="s">
        <v>276</v>
      </c>
      <c r="AG1" s="14" t="s">
        <v>277</v>
      </c>
    </row>
    <row r="2" spans="1:33" x14ac:dyDescent="0.35">
      <c r="A2" s="1" t="s">
        <v>275</v>
      </c>
      <c r="B2" s="5">
        <v>33553421.70294353</v>
      </c>
      <c r="C2" s="5">
        <v>32571935.842323769</v>
      </c>
      <c r="D2" s="5">
        <v>-5910400.1241434943</v>
      </c>
      <c r="E2" s="5">
        <v>37456821.811469272</v>
      </c>
      <c r="F2" s="5">
        <v>18740895.811323062</v>
      </c>
      <c r="G2" s="5">
        <v>14396514.012343319</v>
      </c>
      <c r="H2" s="5">
        <v>926092.11227898079</v>
      </c>
      <c r="I2" s="11">
        <v>23.539775051483051</v>
      </c>
      <c r="J2" s="10">
        <v>-0.46022494851694518</v>
      </c>
      <c r="K2" s="11">
        <v>24</v>
      </c>
      <c r="L2" s="1" t="s">
        <v>327</v>
      </c>
      <c r="M2" s="8">
        <v>0.85</v>
      </c>
      <c r="N2" s="8">
        <v>0.85</v>
      </c>
      <c r="O2" s="8">
        <v>0.8</v>
      </c>
      <c r="P2" s="8">
        <v>1.2</v>
      </c>
      <c r="Q2" s="8">
        <v>0.85</v>
      </c>
      <c r="S2" s="16">
        <v>46053</v>
      </c>
      <c r="T2" s="1" t="s">
        <v>53</v>
      </c>
      <c r="U2" s="5">
        <v>30180849.359999999</v>
      </c>
      <c r="V2" s="5">
        <v>30180849.359999999</v>
      </c>
      <c r="W2" s="5">
        <v>30180849.359999999</v>
      </c>
      <c r="Z2" s="1" t="s">
        <v>689</v>
      </c>
      <c r="AA2" s="1" t="s">
        <v>720</v>
      </c>
      <c r="AB2" s="1" t="s">
        <v>726</v>
      </c>
      <c r="AC2" s="1" t="s">
        <v>432</v>
      </c>
      <c r="AD2" s="1" t="s">
        <v>727</v>
      </c>
      <c r="AE2" s="17">
        <v>0.85</v>
      </c>
      <c r="AF2" s="17">
        <v>1</v>
      </c>
      <c r="AG2" s="17">
        <v>1.1499999999999999</v>
      </c>
    </row>
    <row r="3" spans="1:33" x14ac:dyDescent="0.35">
      <c r="A3" s="1" t="s">
        <v>276</v>
      </c>
      <c r="B3" s="5">
        <v>34816416.564797662</v>
      </c>
      <c r="C3" s="5">
        <v>32790970.251651369</v>
      </c>
      <c r="D3" s="5">
        <v>-5713689.1711312355</v>
      </c>
      <c r="E3" s="5">
        <v>41566296.055865154</v>
      </c>
      <c r="F3" s="5">
        <v>18845495.342542991</v>
      </c>
      <c r="G3" s="5">
        <v>16895401.660563219</v>
      </c>
      <c r="H3" s="5">
        <v>850000</v>
      </c>
      <c r="I3" s="11">
        <v>25.647058823529409</v>
      </c>
      <c r="J3" s="10">
        <v>1.647058823529413</v>
      </c>
      <c r="K3" s="11">
        <v>24</v>
      </c>
      <c r="L3" s="1" t="s">
        <v>330</v>
      </c>
      <c r="M3" s="8">
        <v>1</v>
      </c>
      <c r="N3" s="8">
        <v>1</v>
      </c>
      <c r="O3" s="8">
        <v>1</v>
      </c>
      <c r="P3" s="8">
        <v>1</v>
      </c>
      <c r="Q3" s="8">
        <v>1</v>
      </c>
      <c r="S3" s="16">
        <v>46081</v>
      </c>
      <c r="T3" s="1" t="s">
        <v>54</v>
      </c>
      <c r="U3" s="5">
        <v>30578224.920000002</v>
      </c>
      <c r="V3" s="5">
        <v>30578224.920000002</v>
      </c>
      <c r="W3" s="5">
        <v>30578224.920000002</v>
      </c>
      <c r="Z3" s="1" t="s">
        <v>692</v>
      </c>
      <c r="AA3" s="1" t="s">
        <v>728</v>
      </c>
      <c r="AB3" s="1" t="s">
        <v>79</v>
      </c>
      <c r="AC3" s="1" t="s">
        <v>423</v>
      </c>
      <c r="AD3" s="1" t="s">
        <v>729</v>
      </c>
      <c r="AE3" s="17">
        <v>8.0069001953364007E-3</v>
      </c>
      <c r="AF3" s="17">
        <v>9.4198825827486992E-3</v>
      </c>
      <c r="AG3" s="17">
        <v>1.1303859099298401E-2</v>
      </c>
    </row>
    <row r="4" spans="1:33" x14ac:dyDescent="0.35">
      <c r="A4" s="1" t="s">
        <v>277</v>
      </c>
      <c r="B4" s="5">
        <v>36123036.630151823</v>
      </c>
      <c r="C4" s="5">
        <v>33024317.950149331</v>
      </c>
      <c r="D4" s="5">
        <v>-5507025.0889395718</v>
      </c>
      <c r="E4" s="5">
        <v>46032954.526919052</v>
      </c>
      <c r="F4" s="5">
        <v>18953992.751578689</v>
      </c>
      <c r="G4" s="5">
        <v>19513485.40707523</v>
      </c>
      <c r="H4" s="5">
        <v>771318.43498553091</v>
      </c>
      <c r="I4" s="11">
        <v>28.263294394628261</v>
      </c>
      <c r="J4" s="10">
        <v>4.2632943946282644</v>
      </c>
      <c r="K4" s="11">
        <v>24</v>
      </c>
      <c r="L4" s="1" t="s">
        <v>330</v>
      </c>
      <c r="M4" s="8">
        <v>1.1499999999999999</v>
      </c>
      <c r="N4" s="8">
        <v>1.1499999999999999</v>
      </c>
      <c r="O4" s="8">
        <v>1.25</v>
      </c>
      <c r="P4" s="8">
        <v>0.85</v>
      </c>
      <c r="Q4" s="8">
        <v>1.2</v>
      </c>
      <c r="S4" s="16">
        <v>46112</v>
      </c>
      <c r="T4" s="1" t="s">
        <v>55</v>
      </c>
      <c r="U4" s="5">
        <v>30837429.359999999</v>
      </c>
      <c r="V4" s="5">
        <v>30837429.359999999</v>
      </c>
      <c r="W4" s="5">
        <v>30837429.359999999</v>
      </c>
      <c r="Z4" s="1" t="s">
        <v>692</v>
      </c>
      <c r="AA4" s="1" t="s">
        <v>728</v>
      </c>
      <c r="AB4" s="1" t="s">
        <v>78</v>
      </c>
      <c r="AC4" s="1" t="s">
        <v>423</v>
      </c>
      <c r="AD4" s="1" t="s">
        <v>729</v>
      </c>
      <c r="AE4" s="17">
        <v>1.8871368632345901E-2</v>
      </c>
      <c r="AF4" s="17">
        <v>2.2201610155701101E-2</v>
      </c>
      <c r="AG4" s="17">
        <v>2.6641932186841299E-2</v>
      </c>
    </row>
    <row r="5" spans="1:33" x14ac:dyDescent="0.35">
      <c r="S5" s="16">
        <v>46142</v>
      </c>
      <c r="T5" s="1" t="s">
        <v>56</v>
      </c>
      <c r="U5" s="5">
        <v>31447353.84</v>
      </c>
      <c r="V5" s="5">
        <v>31447353.84</v>
      </c>
      <c r="W5" s="5">
        <v>31447353.84</v>
      </c>
      <c r="Z5" s="1" t="s">
        <v>692</v>
      </c>
      <c r="AA5" s="1" t="s">
        <v>728</v>
      </c>
      <c r="AB5" s="1" t="s">
        <v>77</v>
      </c>
      <c r="AC5" s="1" t="s">
        <v>423</v>
      </c>
      <c r="AD5" s="1" t="s">
        <v>729</v>
      </c>
      <c r="AE5" s="17">
        <v>8.8847856176298007E-3</v>
      </c>
      <c r="AF5" s="17">
        <v>1.04526889619175E-2</v>
      </c>
      <c r="AG5" s="17">
        <v>1.2543226754300999E-2</v>
      </c>
    </row>
    <row r="6" spans="1:33" x14ac:dyDescent="0.35">
      <c r="S6" s="16">
        <v>46173</v>
      </c>
      <c r="T6" s="1" t="s">
        <v>57</v>
      </c>
      <c r="U6" s="5">
        <v>32493210.359999999</v>
      </c>
      <c r="V6" s="5">
        <v>32493210.359999999</v>
      </c>
      <c r="W6" s="5">
        <v>32493210.359999999</v>
      </c>
      <c r="Z6" s="1" t="s">
        <v>648</v>
      </c>
      <c r="AA6" s="1" t="s">
        <v>730</v>
      </c>
      <c r="AB6" s="1" t="s">
        <v>726</v>
      </c>
      <c r="AC6" s="1" t="s">
        <v>423</v>
      </c>
      <c r="AD6" s="1" t="s">
        <v>729</v>
      </c>
      <c r="AE6" s="17"/>
      <c r="AF6" s="17"/>
      <c r="AG6" s="17"/>
    </row>
    <row r="7" spans="1:33" x14ac:dyDescent="0.35">
      <c r="S7" s="16">
        <v>46203</v>
      </c>
      <c r="T7" s="1" t="s">
        <v>58</v>
      </c>
      <c r="U7" s="5">
        <v>33016720.32</v>
      </c>
      <c r="V7" s="5">
        <v>33016720.32</v>
      </c>
      <c r="W7" s="5">
        <v>33016720.32</v>
      </c>
      <c r="Z7" s="1" t="s">
        <v>648</v>
      </c>
      <c r="AA7" s="1" t="s">
        <v>731</v>
      </c>
      <c r="AB7" s="1" t="s">
        <v>726</v>
      </c>
      <c r="AC7" s="1" t="s">
        <v>423</v>
      </c>
      <c r="AD7" s="1" t="s">
        <v>729</v>
      </c>
      <c r="AE7" s="17"/>
      <c r="AF7" s="17"/>
      <c r="AG7" s="17"/>
    </row>
    <row r="8" spans="1:33" x14ac:dyDescent="0.35">
      <c r="S8" s="16">
        <v>46234</v>
      </c>
      <c r="T8" s="1" t="s">
        <v>59</v>
      </c>
      <c r="U8" s="5">
        <v>33488106.730017819</v>
      </c>
      <c r="V8" s="5">
        <v>33671666.720317788</v>
      </c>
      <c r="W8" s="5">
        <v>33868561.093475349</v>
      </c>
      <c r="Z8" s="1" t="s">
        <v>689</v>
      </c>
      <c r="AA8" s="1" t="s">
        <v>594</v>
      </c>
      <c r="AB8" s="1" t="s">
        <v>79</v>
      </c>
      <c r="AC8" s="1" t="s">
        <v>423</v>
      </c>
      <c r="AD8" s="1" t="s">
        <v>729</v>
      </c>
      <c r="AE8" s="17">
        <v>0.10625</v>
      </c>
      <c r="AF8" s="17">
        <v>0.125</v>
      </c>
      <c r="AG8" s="17">
        <v>0.14374999999999999</v>
      </c>
    </row>
    <row r="9" spans="1:33" x14ac:dyDescent="0.35">
      <c r="S9" s="16">
        <v>46265</v>
      </c>
      <c r="T9" s="1" t="s">
        <v>61</v>
      </c>
      <c r="U9" s="5">
        <v>33655579.61198955</v>
      </c>
      <c r="V9" s="5">
        <v>33985619.409044519</v>
      </c>
      <c r="W9" s="5">
        <v>34340318.132787019</v>
      </c>
      <c r="Z9" s="1" t="s">
        <v>689</v>
      </c>
      <c r="AA9" s="1" t="s">
        <v>594</v>
      </c>
      <c r="AB9" s="1" t="s">
        <v>78</v>
      </c>
      <c r="AC9" s="1" t="s">
        <v>423</v>
      </c>
      <c r="AD9" s="1" t="s">
        <v>729</v>
      </c>
      <c r="AE9" s="17">
        <v>0.15193236714975841</v>
      </c>
      <c r="AF9" s="17">
        <v>0.17874396135265699</v>
      </c>
      <c r="AG9" s="17">
        <v>0.20555555555555549</v>
      </c>
    </row>
    <row r="10" spans="1:33" x14ac:dyDescent="0.35">
      <c r="S10" s="16">
        <v>46295</v>
      </c>
      <c r="T10" s="1" t="s">
        <v>63</v>
      </c>
      <c r="U10" s="5">
        <v>33760422.626777828</v>
      </c>
      <c r="V10" s="5">
        <v>34227398.188384548</v>
      </c>
      <c r="W10" s="5">
        <v>34730174.071336612</v>
      </c>
      <c r="Z10" s="1" t="s">
        <v>689</v>
      </c>
      <c r="AA10" s="1" t="s">
        <v>594</v>
      </c>
      <c r="AB10" s="1" t="s">
        <v>77</v>
      </c>
      <c r="AC10" s="1" t="s">
        <v>423</v>
      </c>
      <c r="AD10" s="1" t="s">
        <v>729</v>
      </c>
      <c r="AE10" s="17">
        <v>0.22221206581352829</v>
      </c>
      <c r="AF10" s="17">
        <v>0.2614259597806215</v>
      </c>
      <c r="AG10" s="17">
        <v>0.30063985374771468</v>
      </c>
    </row>
    <row r="11" spans="1:33" x14ac:dyDescent="0.35">
      <c r="S11" s="16">
        <v>46326</v>
      </c>
      <c r="T11" s="1" t="s">
        <v>64</v>
      </c>
      <c r="U11" s="5">
        <v>33767560.746307321</v>
      </c>
      <c r="V11" s="5">
        <v>34388015.770121627</v>
      </c>
      <c r="W11" s="5">
        <v>35051309.95603966</v>
      </c>
      <c r="Z11" s="1" t="s">
        <v>732</v>
      </c>
      <c r="AA11" s="1" t="s">
        <v>733</v>
      </c>
      <c r="AB11" s="1" t="s">
        <v>196</v>
      </c>
      <c r="AC11" s="1" t="s">
        <v>734</v>
      </c>
      <c r="AD11" s="1" t="s">
        <v>729</v>
      </c>
      <c r="AE11" s="17"/>
      <c r="AF11" s="17"/>
      <c r="AG11" s="17"/>
    </row>
    <row r="12" spans="1:33" x14ac:dyDescent="0.35">
      <c r="S12" s="16">
        <v>46356</v>
      </c>
      <c r="T12" s="1" t="s">
        <v>65</v>
      </c>
      <c r="U12" s="5">
        <v>33869859.399719119</v>
      </c>
      <c r="V12" s="5">
        <v>34776456.209347941</v>
      </c>
      <c r="W12" s="5">
        <v>35733548.153585806</v>
      </c>
      <c r="Z12" s="1" t="s">
        <v>732</v>
      </c>
      <c r="AA12" s="1" t="s">
        <v>733</v>
      </c>
      <c r="AB12" s="1" t="s">
        <v>197</v>
      </c>
      <c r="AC12" s="1" t="s">
        <v>734</v>
      </c>
      <c r="AD12" s="1" t="s">
        <v>729</v>
      </c>
      <c r="AE12" s="17"/>
      <c r="AF12" s="17"/>
      <c r="AG12" s="17"/>
    </row>
    <row r="13" spans="1:33" x14ac:dyDescent="0.35">
      <c r="S13" s="16">
        <v>46387</v>
      </c>
      <c r="T13" s="1" t="s">
        <v>66</v>
      </c>
      <c r="U13" s="5">
        <v>33553421.70294353</v>
      </c>
      <c r="V13" s="5">
        <v>34816416.564797662</v>
      </c>
      <c r="W13" s="5">
        <v>36123036.630151823</v>
      </c>
      <c r="Z13" s="1" t="s">
        <v>732</v>
      </c>
      <c r="AA13" s="1" t="s">
        <v>733</v>
      </c>
      <c r="AB13" s="1" t="s">
        <v>198</v>
      </c>
      <c r="AC13" s="1" t="s">
        <v>734</v>
      </c>
      <c r="AD13" s="1" t="s">
        <v>729</v>
      </c>
      <c r="AE13" s="17"/>
      <c r="AF13" s="17"/>
      <c r="AG13" s="17"/>
    </row>
    <row r="14" spans="1:33" x14ac:dyDescent="0.35">
      <c r="S14" s="16">
        <v>46418</v>
      </c>
      <c r="T14" s="1" t="s">
        <v>735</v>
      </c>
      <c r="U14" s="5">
        <v>33386344.052736841</v>
      </c>
      <c r="V14" s="5">
        <v>34980843.625721462</v>
      </c>
      <c r="W14" s="5">
        <v>36615401.633812949</v>
      </c>
      <c r="Z14" s="1" t="s">
        <v>732</v>
      </c>
      <c r="AA14" s="1" t="s">
        <v>733</v>
      </c>
      <c r="AB14" s="1" t="s">
        <v>199</v>
      </c>
      <c r="AC14" s="1" t="s">
        <v>734</v>
      </c>
      <c r="AD14" s="1" t="s">
        <v>729</v>
      </c>
      <c r="AE14" s="17"/>
      <c r="AF14" s="17"/>
      <c r="AG14" s="17"/>
    </row>
    <row r="15" spans="1:33" x14ac:dyDescent="0.35">
      <c r="S15" s="16">
        <v>46446</v>
      </c>
      <c r="T15" s="1" t="s">
        <v>736</v>
      </c>
      <c r="U15" s="5">
        <v>33589004.789729327</v>
      </c>
      <c r="V15" s="5">
        <v>35451255.839126632</v>
      </c>
      <c r="W15" s="5">
        <v>37366816.850769617</v>
      </c>
      <c r="Z15" s="1" t="s">
        <v>732</v>
      </c>
      <c r="AA15" s="1" t="s">
        <v>733</v>
      </c>
      <c r="AB15" s="1" t="s">
        <v>200</v>
      </c>
      <c r="AC15" s="1" t="s">
        <v>734</v>
      </c>
      <c r="AD15" s="1" t="s">
        <v>729</v>
      </c>
      <c r="AE15" s="17"/>
      <c r="AF15" s="17"/>
      <c r="AG15" s="17"/>
    </row>
    <row r="16" spans="1:33" x14ac:dyDescent="0.35">
      <c r="S16" s="16">
        <v>46477</v>
      </c>
      <c r="T16" s="1" t="s">
        <v>737</v>
      </c>
      <c r="U16" s="5">
        <v>33480771.933094218</v>
      </c>
      <c r="V16" s="5">
        <v>35660175.064367257</v>
      </c>
      <c r="W16" s="5">
        <v>37895238.529743962</v>
      </c>
      <c r="Z16" s="1" t="s">
        <v>732</v>
      </c>
      <c r="AA16" s="1" t="s">
        <v>733</v>
      </c>
      <c r="AB16" s="1" t="s">
        <v>201</v>
      </c>
      <c r="AC16" s="1" t="s">
        <v>734</v>
      </c>
      <c r="AD16" s="1" t="s">
        <v>729</v>
      </c>
      <c r="AE16" s="17"/>
      <c r="AF16" s="17"/>
      <c r="AG16" s="17"/>
    </row>
    <row r="17" spans="19:33" x14ac:dyDescent="0.35">
      <c r="S17" s="16">
        <v>46507</v>
      </c>
      <c r="T17" s="1" t="s">
        <v>738</v>
      </c>
      <c r="U17" s="5">
        <v>33790832.733858608</v>
      </c>
      <c r="V17" s="5">
        <v>36215317.187265523</v>
      </c>
      <c r="W17" s="5">
        <v>38717243.126674727</v>
      </c>
      <c r="Z17" s="1" t="s">
        <v>732</v>
      </c>
      <c r="AA17" s="1" t="s">
        <v>733</v>
      </c>
      <c r="AB17" s="1" t="s">
        <v>202</v>
      </c>
      <c r="AC17" s="1" t="s">
        <v>734</v>
      </c>
      <c r="AD17" s="1" t="s">
        <v>729</v>
      </c>
      <c r="AE17" s="17"/>
      <c r="AF17" s="17"/>
      <c r="AG17" s="17"/>
    </row>
    <row r="18" spans="19:33" x14ac:dyDescent="0.35">
      <c r="S18" s="16">
        <v>46538</v>
      </c>
      <c r="T18" s="1" t="s">
        <v>739</v>
      </c>
      <c r="U18" s="5">
        <v>34174814.846448801</v>
      </c>
      <c r="V18" s="5">
        <v>36829763.613565274</v>
      </c>
      <c r="W18" s="5">
        <v>39588967.344560727</v>
      </c>
      <c r="Z18" s="1" t="s">
        <v>732</v>
      </c>
      <c r="AA18" s="1" t="s">
        <v>733</v>
      </c>
      <c r="AB18" s="1" t="s">
        <v>203</v>
      </c>
      <c r="AC18" s="1" t="s">
        <v>734</v>
      </c>
      <c r="AD18" s="1" t="s">
        <v>729</v>
      </c>
      <c r="AE18" s="17"/>
      <c r="AF18" s="17"/>
      <c r="AG18" s="17"/>
    </row>
    <row r="19" spans="19:33" x14ac:dyDescent="0.35">
      <c r="S19" s="16">
        <v>46568</v>
      </c>
      <c r="T19" s="1" t="s">
        <v>740</v>
      </c>
      <c r="U19" s="5">
        <v>34218830.669668108</v>
      </c>
      <c r="V19" s="5">
        <v>37158664.923159793</v>
      </c>
      <c r="W19" s="5">
        <v>40217306.250578463</v>
      </c>
      <c r="Z19" s="1" t="s">
        <v>741</v>
      </c>
      <c r="AA19" s="1" t="s">
        <v>742</v>
      </c>
      <c r="AB19" s="1" t="s">
        <v>79</v>
      </c>
      <c r="AC19" s="1" t="s">
        <v>734</v>
      </c>
      <c r="AD19" s="1" t="s">
        <v>729</v>
      </c>
      <c r="AE19" s="17">
        <v>547548.07400000002</v>
      </c>
      <c r="AF19" s="17">
        <v>684435.09250000003</v>
      </c>
      <c r="AG19" s="17">
        <v>855543.86562500009</v>
      </c>
    </row>
    <row r="20" spans="19:33" x14ac:dyDescent="0.35">
      <c r="S20" s="16">
        <v>46599</v>
      </c>
      <c r="T20" s="1" t="s">
        <v>743</v>
      </c>
      <c r="U20" s="5">
        <v>34766211.131775901</v>
      </c>
      <c r="V20" s="5">
        <v>37904852.393493682</v>
      </c>
      <c r="W20" s="5">
        <v>41199683.081724338</v>
      </c>
      <c r="Z20" s="1" t="s">
        <v>741</v>
      </c>
      <c r="AA20" s="1" t="s">
        <v>742</v>
      </c>
      <c r="AB20" s="1" t="s">
        <v>78</v>
      </c>
      <c r="AC20" s="1" t="s">
        <v>734</v>
      </c>
      <c r="AD20" s="1" t="s">
        <v>729</v>
      </c>
      <c r="AE20" s="17">
        <v>637623.83000000007</v>
      </c>
      <c r="AF20" s="17">
        <v>797029.78749999998</v>
      </c>
      <c r="AG20" s="17">
        <v>996287.234375</v>
      </c>
    </row>
    <row r="21" spans="19:33" x14ac:dyDescent="0.35">
      <c r="S21" s="16">
        <v>46630</v>
      </c>
      <c r="T21" s="1" t="s">
        <v>744</v>
      </c>
      <c r="U21" s="5">
        <v>35344012.741527162</v>
      </c>
      <c r="V21" s="5">
        <v>38674260.577043436</v>
      </c>
      <c r="W21" s="5">
        <v>42201158.446157597</v>
      </c>
      <c r="Z21" s="1" t="s">
        <v>741</v>
      </c>
      <c r="AA21" s="1" t="s">
        <v>742</v>
      </c>
      <c r="AB21" s="1" t="s">
        <v>77</v>
      </c>
      <c r="AC21" s="1" t="s">
        <v>734</v>
      </c>
      <c r="AD21" s="1" t="s">
        <v>729</v>
      </c>
      <c r="AE21" s="17">
        <v>377659.51666666672</v>
      </c>
      <c r="AF21" s="17">
        <v>472074.39583333331</v>
      </c>
      <c r="AG21" s="17">
        <v>590092.99479166663</v>
      </c>
    </row>
    <row r="22" spans="19:33" x14ac:dyDescent="0.35">
      <c r="S22" s="16">
        <v>46660</v>
      </c>
      <c r="T22" s="1" t="s">
        <v>745</v>
      </c>
      <c r="U22" s="5">
        <v>35802902.17568776</v>
      </c>
      <c r="V22" s="5">
        <v>39342497.824995451</v>
      </c>
      <c r="W22" s="5">
        <v>43116015.278551102</v>
      </c>
      <c r="Z22" s="1" t="s">
        <v>741</v>
      </c>
      <c r="AA22" s="1" t="s">
        <v>746</v>
      </c>
      <c r="AB22" s="1" t="s">
        <v>79</v>
      </c>
      <c r="AC22" s="1" t="s">
        <v>456</v>
      </c>
      <c r="AD22" s="1" t="s">
        <v>729</v>
      </c>
      <c r="AE22" s="17"/>
      <c r="AF22" s="17"/>
      <c r="AG22" s="17"/>
    </row>
    <row r="23" spans="19:33" x14ac:dyDescent="0.35">
      <c r="S23" s="16">
        <v>46691</v>
      </c>
      <c r="T23" s="1" t="s">
        <v>747</v>
      </c>
      <c r="U23" s="5">
        <v>36366787.999328427</v>
      </c>
      <c r="V23" s="5">
        <v>40096206.087394796</v>
      </c>
      <c r="W23" s="5">
        <v>44102914.680189043</v>
      </c>
      <c r="Z23" s="1" t="s">
        <v>741</v>
      </c>
      <c r="AA23" s="1" t="s">
        <v>746</v>
      </c>
      <c r="AB23" s="1" t="s">
        <v>78</v>
      </c>
      <c r="AC23" s="1" t="s">
        <v>456</v>
      </c>
      <c r="AD23" s="1" t="s">
        <v>729</v>
      </c>
      <c r="AE23" s="17"/>
      <c r="AF23" s="17"/>
      <c r="AG23" s="17"/>
    </row>
    <row r="24" spans="19:33" x14ac:dyDescent="0.35">
      <c r="S24" s="16">
        <v>46721</v>
      </c>
      <c r="T24" s="1" t="s">
        <v>748</v>
      </c>
      <c r="U24" s="5">
        <v>36942875.606585108</v>
      </c>
      <c r="V24" s="5">
        <v>40858106.729525968</v>
      </c>
      <c r="W24" s="5">
        <v>45092786.515011713</v>
      </c>
      <c r="Z24" s="1" t="s">
        <v>741</v>
      </c>
      <c r="AA24" s="1" t="s">
        <v>746</v>
      </c>
      <c r="AB24" s="1" t="s">
        <v>77</v>
      </c>
      <c r="AC24" s="1" t="s">
        <v>456</v>
      </c>
      <c r="AD24" s="1" t="s">
        <v>729</v>
      </c>
      <c r="AE24" s="17"/>
      <c r="AF24" s="17"/>
      <c r="AG24" s="17"/>
    </row>
    <row r="25" spans="19:33" x14ac:dyDescent="0.35">
      <c r="S25" s="16">
        <v>46752</v>
      </c>
      <c r="T25" s="1" t="s">
        <v>749</v>
      </c>
      <c r="U25" s="5">
        <v>37456821.811469272</v>
      </c>
      <c r="V25" s="5">
        <v>41566296.055865154</v>
      </c>
      <c r="W25" s="5">
        <v>46032954.526919052</v>
      </c>
      <c r="Z25" s="1" t="s">
        <v>696</v>
      </c>
      <c r="AA25" s="1" t="s">
        <v>750</v>
      </c>
      <c r="AB25" s="1" t="s">
        <v>79</v>
      </c>
      <c r="AC25" s="1" t="s">
        <v>734</v>
      </c>
      <c r="AD25" s="1" t="s">
        <v>729</v>
      </c>
      <c r="AE25" s="17"/>
      <c r="AF25" s="17"/>
      <c r="AG25" s="17"/>
    </row>
    <row r="26" spans="19:33" x14ac:dyDescent="0.35">
      <c r="Z26" s="1" t="s">
        <v>696</v>
      </c>
      <c r="AA26" s="1" t="s">
        <v>750</v>
      </c>
      <c r="AB26" s="1" t="s">
        <v>78</v>
      </c>
      <c r="AC26" s="1" t="s">
        <v>734</v>
      </c>
      <c r="AD26" s="1" t="s">
        <v>729</v>
      </c>
      <c r="AE26" s="17"/>
      <c r="AF26" s="17"/>
      <c r="AG26" s="17"/>
    </row>
    <row r="27" spans="19:33" x14ac:dyDescent="0.35">
      <c r="Z27" s="1" t="s">
        <v>696</v>
      </c>
      <c r="AA27" s="1" t="s">
        <v>750</v>
      </c>
      <c r="AB27" s="1" t="s">
        <v>77</v>
      </c>
      <c r="AC27" s="1" t="s">
        <v>734</v>
      </c>
      <c r="AD27" s="1" t="s">
        <v>729</v>
      </c>
      <c r="AE27" s="17"/>
      <c r="AF27" s="17"/>
      <c r="AG27" s="17"/>
    </row>
    <row r="28" spans="19:33" x14ac:dyDescent="0.35">
      <c r="Z28" s="1" t="s">
        <v>751</v>
      </c>
      <c r="AA28" s="1" t="s">
        <v>752</v>
      </c>
      <c r="AB28" s="1" t="s">
        <v>79</v>
      </c>
      <c r="AC28" s="1" t="s">
        <v>734</v>
      </c>
      <c r="AD28" s="1" t="s">
        <v>729</v>
      </c>
      <c r="AE28" s="17">
        <v>0</v>
      </c>
      <c r="AF28" s="17">
        <v>0</v>
      </c>
      <c r="AG28" s="17">
        <v>0</v>
      </c>
    </row>
    <row r="29" spans="19:33" x14ac:dyDescent="0.35">
      <c r="Z29" s="1" t="s">
        <v>751</v>
      </c>
      <c r="AA29" s="1" t="s">
        <v>752</v>
      </c>
      <c r="AB29" s="1" t="s">
        <v>78</v>
      </c>
      <c r="AC29" s="1" t="s">
        <v>734</v>
      </c>
      <c r="AD29" s="1" t="s">
        <v>729</v>
      </c>
      <c r="AE29" s="17">
        <v>0</v>
      </c>
      <c r="AF29" s="17">
        <v>0</v>
      </c>
      <c r="AG29" s="17">
        <v>0</v>
      </c>
    </row>
    <row r="30" spans="19:33" x14ac:dyDescent="0.35">
      <c r="Z30" s="1" t="s">
        <v>751</v>
      </c>
      <c r="AA30" s="1" t="s">
        <v>752</v>
      </c>
      <c r="AB30" s="1" t="s">
        <v>77</v>
      </c>
      <c r="AC30" s="1" t="s">
        <v>734</v>
      </c>
      <c r="AD30" s="1" t="s">
        <v>729</v>
      </c>
      <c r="AE30" s="17">
        <v>85170</v>
      </c>
      <c r="AF30" s="17">
        <v>70975</v>
      </c>
      <c r="AG30" s="17">
        <v>60328.75</v>
      </c>
    </row>
    <row r="31" spans="19:33" x14ac:dyDescent="0.35">
      <c r="Z31" s="1" t="s">
        <v>751</v>
      </c>
      <c r="AA31" s="1" t="s">
        <v>753</v>
      </c>
      <c r="AB31" s="1" t="s">
        <v>79</v>
      </c>
      <c r="AC31" s="1" t="s">
        <v>734</v>
      </c>
      <c r="AD31" s="1" t="s">
        <v>729</v>
      </c>
      <c r="AE31" s="17">
        <v>0</v>
      </c>
      <c r="AF31" s="17">
        <v>0</v>
      </c>
      <c r="AG31" s="17">
        <v>0</v>
      </c>
    </row>
    <row r="32" spans="19:33" x14ac:dyDescent="0.35">
      <c r="Z32" s="1" t="s">
        <v>751</v>
      </c>
      <c r="AA32" s="1" t="s">
        <v>753</v>
      </c>
      <c r="AB32" s="1" t="s">
        <v>78</v>
      </c>
      <c r="AC32" s="1" t="s">
        <v>734</v>
      </c>
      <c r="AD32" s="1" t="s">
        <v>729</v>
      </c>
      <c r="AE32" s="17">
        <v>0</v>
      </c>
      <c r="AF32" s="17">
        <v>0</v>
      </c>
      <c r="AG32" s="17">
        <v>0</v>
      </c>
    </row>
    <row r="33" spans="26:33" x14ac:dyDescent="0.35">
      <c r="Z33" s="1" t="s">
        <v>751</v>
      </c>
      <c r="AA33" s="1" t="s">
        <v>753</v>
      </c>
      <c r="AB33" s="1" t="s">
        <v>77</v>
      </c>
      <c r="AC33" s="1" t="s">
        <v>734</v>
      </c>
      <c r="AD33" s="1" t="s">
        <v>729</v>
      </c>
      <c r="AE33" s="17">
        <v>7963.68</v>
      </c>
      <c r="AF33" s="17">
        <v>6636.4000000000005</v>
      </c>
      <c r="AG33" s="17">
        <v>5640.9400000000014</v>
      </c>
    </row>
    <row r="34" spans="26:33" x14ac:dyDescent="0.35">
      <c r="Z34" s="1" t="s">
        <v>751</v>
      </c>
      <c r="AA34" s="1" t="s">
        <v>754</v>
      </c>
      <c r="AB34" s="1" t="s">
        <v>79</v>
      </c>
      <c r="AC34" s="1" t="s">
        <v>423</v>
      </c>
      <c r="AD34" s="1" t="s">
        <v>729</v>
      </c>
      <c r="AE34" s="17">
        <v>0.10750209795239821</v>
      </c>
      <c r="AF34" s="17">
        <v>8.9585081626998506E-2</v>
      </c>
      <c r="AG34" s="17">
        <v>7.6147319382948706E-2</v>
      </c>
    </row>
    <row r="35" spans="26:33" x14ac:dyDescent="0.35">
      <c r="Z35" s="1" t="s">
        <v>751</v>
      </c>
      <c r="AA35" s="1" t="s">
        <v>754</v>
      </c>
      <c r="AB35" s="1" t="s">
        <v>78</v>
      </c>
      <c r="AC35" s="1" t="s">
        <v>423</v>
      </c>
      <c r="AD35" s="1" t="s">
        <v>729</v>
      </c>
      <c r="AE35" s="17">
        <v>0.112246772788132</v>
      </c>
      <c r="AF35" s="17">
        <v>9.3538977323443295E-2</v>
      </c>
      <c r="AG35" s="17">
        <v>7.9508130724926795E-2</v>
      </c>
    </row>
    <row r="36" spans="26:33" x14ac:dyDescent="0.35">
      <c r="Z36" s="1" t="s">
        <v>751</v>
      </c>
      <c r="AA36" s="1" t="s">
        <v>754</v>
      </c>
      <c r="AB36" s="1" t="s">
        <v>77</v>
      </c>
      <c r="AC36" s="1" t="s">
        <v>423</v>
      </c>
      <c r="AD36" s="1" t="s">
        <v>729</v>
      </c>
      <c r="AE36" s="17">
        <v>0.3006507114679311</v>
      </c>
      <c r="AF36" s="17">
        <v>0.25054225955660919</v>
      </c>
      <c r="AG36" s="17">
        <v>0.21296092062311781</v>
      </c>
    </row>
    <row r="37" spans="26:33" x14ac:dyDescent="0.35">
      <c r="Z37" s="1" t="s">
        <v>751</v>
      </c>
      <c r="AA37" s="1" t="s">
        <v>755</v>
      </c>
      <c r="AB37" s="1" t="s">
        <v>79</v>
      </c>
      <c r="AC37" s="1" t="s">
        <v>423</v>
      </c>
      <c r="AD37" s="1" t="s">
        <v>729</v>
      </c>
      <c r="AE37" s="17">
        <v>8.7181085690265295E-2</v>
      </c>
      <c r="AF37" s="17">
        <v>7.2650904741887803E-2</v>
      </c>
      <c r="AG37" s="17">
        <v>6.1753269030604602E-2</v>
      </c>
    </row>
    <row r="38" spans="26:33" x14ac:dyDescent="0.35">
      <c r="Z38" s="1" t="s">
        <v>751</v>
      </c>
      <c r="AA38" s="1" t="s">
        <v>755</v>
      </c>
      <c r="AB38" s="1" t="s">
        <v>78</v>
      </c>
      <c r="AC38" s="1" t="s">
        <v>423</v>
      </c>
      <c r="AD38" s="1" t="s">
        <v>729</v>
      </c>
      <c r="AE38" s="17">
        <v>0.11300978485228411</v>
      </c>
      <c r="AF38" s="17">
        <v>9.4174820710236695E-2</v>
      </c>
      <c r="AG38" s="17">
        <v>8.0048597603701199E-2</v>
      </c>
    </row>
    <row r="39" spans="26:33" x14ac:dyDescent="0.35">
      <c r="Z39" s="1" t="s">
        <v>751</v>
      </c>
      <c r="AA39" s="1" t="s">
        <v>755</v>
      </c>
      <c r="AB39" s="1" t="s">
        <v>77</v>
      </c>
      <c r="AC39" s="1" t="s">
        <v>423</v>
      </c>
      <c r="AD39" s="1" t="s">
        <v>729</v>
      </c>
      <c r="AE39" s="17">
        <v>7.9110063519620105E-2</v>
      </c>
      <c r="AF39" s="17">
        <v>6.5925052933016801E-2</v>
      </c>
      <c r="AG39" s="17">
        <v>5.6036294993064201E-2</v>
      </c>
    </row>
  </sheetData>
  <pageMargins left="0.75" right="0.75" top="1" bottom="1" header="0.5" footer="0.5"/>
  <tableParts count="3">
    <tablePart r:id="rId1"/>
    <tablePart r:id="rId2"/>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6"/>
  <sheetViews>
    <sheetView workbookViewId="0">
      <pane ySplit="1" topLeftCell="A2" activePane="bottomLeft" state="frozen"/>
      <selection pane="bottomLeft"/>
    </sheetView>
  </sheetViews>
  <sheetFormatPr defaultRowHeight="14.5" x14ac:dyDescent="0.35"/>
  <cols>
    <col min="1" max="3" width="12" customWidth="1"/>
    <col min="4" max="4" width="27" customWidth="1"/>
    <col min="5" max="5" width="16" customWidth="1"/>
    <col min="6" max="6" width="24" customWidth="1"/>
    <col min="7" max="7" width="29" customWidth="1"/>
    <col min="8" max="8" width="19" customWidth="1"/>
    <col min="9" max="9" width="23" customWidth="1"/>
    <col min="12" max="12" width="14" customWidth="1"/>
    <col min="13" max="13" width="12" customWidth="1"/>
    <col min="14" max="14" width="20" customWidth="1"/>
    <col min="15" max="15" width="29" customWidth="1"/>
    <col min="16" max="16" width="27" customWidth="1"/>
    <col min="17" max="17" width="24" customWidth="1"/>
    <col min="18" max="18" width="29" customWidth="1"/>
    <col min="19" max="19" width="19" customWidth="1"/>
    <col min="20" max="20" width="23" customWidth="1"/>
    <col min="21" max="21" width="28" customWidth="1"/>
    <col min="22" max="22" width="34" customWidth="1"/>
    <col min="23" max="23" width="29" customWidth="1"/>
    <col min="24" max="24" width="28" customWidth="1"/>
    <col min="25" max="25" width="29" customWidth="1"/>
    <col min="26" max="26" width="30" customWidth="1"/>
  </cols>
  <sheetData>
    <row r="1" spans="1:26" x14ac:dyDescent="0.35">
      <c r="A1" s="15" t="s">
        <v>756</v>
      </c>
      <c r="B1" s="14" t="s">
        <v>757</v>
      </c>
      <c r="C1" s="14" t="s">
        <v>758</v>
      </c>
      <c r="D1" s="14" t="s">
        <v>714</v>
      </c>
      <c r="E1" s="14" t="s">
        <v>759</v>
      </c>
      <c r="F1" s="14" t="s">
        <v>715</v>
      </c>
      <c r="G1" s="14" t="s">
        <v>717</v>
      </c>
      <c r="H1" s="14" t="s">
        <v>716</v>
      </c>
      <c r="I1" s="14" t="s">
        <v>760</v>
      </c>
      <c r="L1" s="14" t="s">
        <v>761</v>
      </c>
      <c r="M1" s="14" t="s">
        <v>756</v>
      </c>
      <c r="N1" s="14" t="s">
        <v>762</v>
      </c>
      <c r="O1" s="14" t="s">
        <v>763</v>
      </c>
      <c r="P1" s="14" t="s">
        <v>714</v>
      </c>
      <c r="Q1" s="14" t="s">
        <v>715</v>
      </c>
      <c r="R1" s="14" t="s">
        <v>717</v>
      </c>
      <c r="S1" s="14" t="s">
        <v>716</v>
      </c>
      <c r="T1" s="14" t="s">
        <v>760</v>
      </c>
      <c r="U1" s="14" t="s">
        <v>764</v>
      </c>
      <c r="V1" s="14" t="s">
        <v>765</v>
      </c>
      <c r="W1" s="14" t="s">
        <v>766</v>
      </c>
      <c r="X1" s="14" t="s">
        <v>767</v>
      </c>
      <c r="Y1" s="14" t="s">
        <v>768</v>
      </c>
      <c r="Z1" s="14" t="s">
        <v>578</v>
      </c>
    </row>
    <row r="2" spans="1:26" x14ac:dyDescent="0.35">
      <c r="A2" s="1" t="s">
        <v>275</v>
      </c>
      <c r="B2" s="1" t="s">
        <v>326</v>
      </c>
      <c r="C2" s="1" t="s">
        <v>275</v>
      </c>
      <c r="D2" s="5">
        <v>926092.11227898079</v>
      </c>
      <c r="E2" s="5">
        <v>21800000</v>
      </c>
      <c r="F2" s="11">
        <v>23.539775051483051</v>
      </c>
      <c r="G2" s="11">
        <v>24</v>
      </c>
      <c r="H2" s="10">
        <v>-0.46022494851694518</v>
      </c>
      <c r="I2" s="1" t="s">
        <v>327</v>
      </c>
      <c r="L2" s="1" t="s">
        <v>769</v>
      </c>
      <c r="M2" s="1" t="s">
        <v>276</v>
      </c>
      <c r="N2" s="3">
        <v>0</v>
      </c>
      <c r="O2" s="5">
        <v>2920858.7822501608</v>
      </c>
      <c r="P2" s="5">
        <v>850000</v>
      </c>
      <c r="Q2" s="11">
        <v>25.647058823529409</v>
      </c>
      <c r="R2" s="11">
        <v>24</v>
      </c>
      <c r="S2" s="10">
        <v>1.647058823529413</v>
      </c>
      <c r="T2" s="1" t="s">
        <v>330</v>
      </c>
      <c r="U2" s="5">
        <v>0</v>
      </c>
      <c r="V2" s="5">
        <v>0</v>
      </c>
      <c r="W2" s="5">
        <v>0</v>
      </c>
      <c r="X2" s="5">
        <v>0</v>
      </c>
      <c r="Y2" s="5">
        <v>0</v>
      </c>
      <c r="Z2" s="1" t="s">
        <v>614</v>
      </c>
    </row>
    <row r="3" spans="1:26" x14ac:dyDescent="0.35">
      <c r="A3" s="1" t="s">
        <v>276</v>
      </c>
      <c r="B3" s="1" t="s">
        <v>329</v>
      </c>
      <c r="C3" s="1" t="s">
        <v>328</v>
      </c>
      <c r="D3" s="5">
        <v>850000</v>
      </c>
      <c r="E3" s="5">
        <v>21800000</v>
      </c>
      <c r="F3" s="11">
        <v>25.647058823529409</v>
      </c>
      <c r="G3" s="11">
        <v>24</v>
      </c>
      <c r="H3" s="10">
        <v>1.647058823529413</v>
      </c>
      <c r="I3" s="1" t="s">
        <v>330</v>
      </c>
      <c r="L3" s="1" t="s">
        <v>331</v>
      </c>
      <c r="M3" s="1" t="s">
        <v>770</v>
      </c>
      <c r="N3" s="3">
        <v>0</v>
      </c>
      <c r="O3" s="5">
        <v>2920858.7822501608</v>
      </c>
      <c r="P3" s="5">
        <v>850000</v>
      </c>
      <c r="Q3" s="11">
        <v>25.647058823529409</v>
      </c>
      <c r="R3" s="11">
        <v>24</v>
      </c>
      <c r="S3" s="10">
        <v>1.647058823529413</v>
      </c>
      <c r="T3" s="1" t="s">
        <v>330</v>
      </c>
      <c r="U3" s="5">
        <v>0</v>
      </c>
      <c r="V3" s="5">
        <v>0</v>
      </c>
      <c r="W3" s="5">
        <v>0</v>
      </c>
      <c r="X3" s="5">
        <v>0</v>
      </c>
      <c r="Y3" s="5">
        <v>0</v>
      </c>
      <c r="Z3" s="1" t="s">
        <v>614</v>
      </c>
    </row>
    <row r="4" spans="1:26" x14ac:dyDescent="0.35">
      <c r="A4" s="1" t="s">
        <v>277</v>
      </c>
      <c r="B4" s="1" t="s">
        <v>326</v>
      </c>
      <c r="C4" s="1" t="s">
        <v>277</v>
      </c>
      <c r="D4" s="5">
        <v>771318.43498553091</v>
      </c>
      <c r="E4" s="5">
        <v>21800000</v>
      </c>
      <c r="F4" s="11">
        <v>28.263294394628261</v>
      </c>
      <c r="G4" s="11">
        <v>24</v>
      </c>
      <c r="H4" s="10">
        <v>4.2632943946282644</v>
      </c>
      <c r="I4" s="1" t="s">
        <v>330</v>
      </c>
      <c r="L4" s="1" t="s">
        <v>332</v>
      </c>
      <c r="M4" s="1" t="s">
        <v>771</v>
      </c>
      <c r="N4" s="3">
        <v>4</v>
      </c>
      <c r="O4" s="5">
        <v>2996583.27052319</v>
      </c>
      <c r="P4" s="5">
        <v>883984.71246609325</v>
      </c>
      <c r="Q4" s="11">
        <v>24.661059962432521</v>
      </c>
      <c r="R4" s="11">
        <v>24</v>
      </c>
      <c r="S4" s="10">
        <v>0.66105996243252463</v>
      </c>
      <c r="T4" s="1" t="s">
        <v>330</v>
      </c>
      <c r="U4" s="5">
        <v>147322.040569365</v>
      </c>
      <c r="V4" s="5">
        <v>-31366.641829413358</v>
      </c>
      <c r="W4" s="5">
        <v>-637083.11137513816</v>
      </c>
      <c r="X4" s="5">
        <v>466.8747128918767</v>
      </c>
      <c r="Y4" s="5">
        <v>-139065.21637033299</v>
      </c>
      <c r="Z4" s="1" t="s">
        <v>614</v>
      </c>
    </row>
    <row r="5" spans="1:26" x14ac:dyDescent="0.35">
      <c r="A5" s="1" t="s">
        <v>770</v>
      </c>
      <c r="B5" s="1" t="s">
        <v>303</v>
      </c>
      <c r="C5" s="1" t="s">
        <v>331</v>
      </c>
      <c r="D5" s="5">
        <v>850000</v>
      </c>
      <c r="E5" s="5">
        <v>21800000</v>
      </c>
      <c r="F5" s="11">
        <v>25.647058823529409</v>
      </c>
      <c r="G5" s="11">
        <v>24</v>
      </c>
      <c r="H5" s="10">
        <v>1.647058823529413</v>
      </c>
      <c r="I5" s="1" t="s">
        <v>330</v>
      </c>
    </row>
    <row r="6" spans="1:26" x14ac:dyDescent="0.35">
      <c r="A6" s="1" t="s">
        <v>771</v>
      </c>
      <c r="B6" s="1" t="s">
        <v>303</v>
      </c>
      <c r="C6" s="1" t="s">
        <v>332</v>
      </c>
      <c r="D6" s="5">
        <v>883984.71246609325</v>
      </c>
      <c r="E6" s="5">
        <v>21800000</v>
      </c>
      <c r="F6" s="11">
        <v>24.661059962432521</v>
      </c>
      <c r="G6" s="11">
        <v>24</v>
      </c>
      <c r="H6" s="10">
        <v>0.66105996243252463</v>
      </c>
      <c r="I6" s="1" t="s">
        <v>330</v>
      </c>
    </row>
  </sheetData>
  <pageMargins left="0.75" right="0.75" top="1" bottom="1" header="0.5" footer="0.5"/>
  <tableParts count="2">
    <tablePart r:id="rId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1"/>
  <sheetViews>
    <sheetView workbookViewId="0">
      <pane ySplit="1" topLeftCell="A2" activePane="bottomLeft" state="frozen"/>
      <selection pane="bottomLeft"/>
    </sheetView>
  </sheetViews>
  <sheetFormatPr defaultRowHeight="14.5" x14ac:dyDescent="0.35"/>
  <cols>
    <col min="1" max="1" width="12" customWidth="1"/>
    <col min="2" max="3" width="16" customWidth="1"/>
    <col min="4" max="4" width="25" customWidth="1"/>
    <col min="5" max="5" width="12" customWidth="1"/>
    <col min="6" max="6" width="31" customWidth="1"/>
    <col min="7" max="8" width="27" customWidth="1"/>
    <col min="9" max="9" width="30" customWidth="1"/>
    <col min="11" max="11" width="18" customWidth="1"/>
    <col min="12" max="12" width="30" customWidth="1"/>
    <col min="13" max="13" width="12" customWidth="1"/>
    <col min="14" max="14" width="22" customWidth="1"/>
    <col min="15" max="15" width="32" customWidth="1"/>
    <col min="16" max="16" width="27" customWidth="1"/>
    <col min="17" max="17" width="30" customWidth="1"/>
    <col min="18" max="18" width="24" customWidth="1"/>
    <col min="21" max="22" width="12" customWidth="1"/>
    <col min="23" max="23" width="30" customWidth="1"/>
    <col min="24" max="25" width="21" customWidth="1"/>
    <col min="26" max="26" width="26" customWidth="1"/>
    <col min="27" max="28" width="27" customWidth="1"/>
    <col min="29" max="29" width="24" customWidth="1"/>
    <col min="30" max="30" width="27" customWidth="1"/>
    <col min="33" max="33" width="12" customWidth="1"/>
    <col min="34" max="34" width="34" customWidth="1"/>
    <col min="35" max="35" width="24" customWidth="1"/>
    <col min="36" max="36" width="29" customWidth="1"/>
    <col min="37" max="37" width="30" customWidth="1"/>
  </cols>
  <sheetData>
    <row r="1" spans="1:37" x14ac:dyDescent="0.35">
      <c r="A1" s="15" t="s">
        <v>663</v>
      </c>
      <c r="B1" s="14" t="s">
        <v>772</v>
      </c>
      <c r="C1" s="14" t="s">
        <v>773</v>
      </c>
      <c r="D1" s="14" t="s">
        <v>774</v>
      </c>
      <c r="E1" s="14" t="s">
        <v>693</v>
      </c>
      <c r="F1" s="14" t="s">
        <v>775</v>
      </c>
      <c r="G1" s="14" t="s">
        <v>776</v>
      </c>
      <c r="H1" s="14" t="s">
        <v>777</v>
      </c>
      <c r="I1" s="14" t="s">
        <v>778</v>
      </c>
      <c r="K1" s="14" t="s">
        <v>605</v>
      </c>
      <c r="L1" s="14" t="s">
        <v>779</v>
      </c>
      <c r="M1" s="14" t="s">
        <v>780</v>
      </c>
      <c r="N1" s="14" t="s">
        <v>781</v>
      </c>
      <c r="O1" s="14" t="s">
        <v>782</v>
      </c>
      <c r="P1" s="14" t="s">
        <v>777</v>
      </c>
      <c r="Q1" s="14" t="s">
        <v>778</v>
      </c>
      <c r="R1" s="14" t="s">
        <v>783</v>
      </c>
      <c r="U1" s="14" t="s">
        <v>663</v>
      </c>
      <c r="V1" s="14" t="s">
        <v>784</v>
      </c>
      <c r="W1" s="14" t="s">
        <v>785</v>
      </c>
      <c r="X1" s="14" t="s">
        <v>786</v>
      </c>
      <c r="Y1" s="14" t="s">
        <v>787</v>
      </c>
      <c r="Z1" s="14" t="s">
        <v>788</v>
      </c>
      <c r="AA1" s="14" t="s">
        <v>789</v>
      </c>
      <c r="AB1" s="14" t="s">
        <v>790</v>
      </c>
      <c r="AC1" s="14" t="s">
        <v>791</v>
      </c>
      <c r="AD1" s="14" t="s">
        <v>792</v>
      </c>
      <c r="AG1" s="14" t="s">
        <v>663</v>
      </c>
      <c r="AH1" s="14" t="s">
        <v>793</v>
      </c>
      <c r="AI1" s="14" t="s">
        <v>794</v>
      </c>
      <c r="AJ1" s="14" t="s">
        <v>795</v>
      </c>
      <c r="AK1" s="14" t="s">
        <v>796</v>
      </c>
    </row>
    <row r="2" spans="1:37" x14ac:dyDescent="0.35">
      <c r="A2" s="1" t="s">
        <v>337</v>
      </c>
      <c r="B2" s="5">
        <v>11262844.51</v>
      </c>
      <c r="C2" s="5">
        <v>8627313.6099999994</v>
      </c>
      <c r="D2" s="5">
        <v>22912148.920000002</v>
      </c>
      <c r="E2" s="5">
        <v>24495197.399999999</v>
      </c>
      <c r="F2" s="5">
        <v>21521425.250000011</v>
      </c>
      <c r="G2" s="5">
        <v>20153756.91</v>
      </c>
      <c r="H2" s="5">
        <v>6697503.5299999993</v>
      </c>
      <c r="I2" s="5">
        <v>254080.23000000039</v>
      </c>
      <c r="K2" s="1" t="s">
        <v>357</v>
      </c>
      <c r="L2" s="5">
        <v>5256937.09</v>
      </c>
      <c r="M2" s="5">
        <v>6718668.0499999998</v>
      </c>
      <c r="N2" s="5">
        <v>4854374.6999999983</v>
      </c>
      <c r="O2" s="5">
        <v>14456.529999999801</v>
      </c>
      <c r="P2" s="5">
        <v>7135686.9700000007</v>
      </c>
      <c r="Q2" s="5">
        <v>218693.99000000019</v>
      </c>
      <c r="R2" s="13">
        <v>0</v>
      </c>
      <c r="U2" s="1" t="s">
        <v>337</v>
      </c>
      <c r="V2" s="1" t="s">
        <v>41</v>
      </c>
      <c r="W2" s="5">
        <v>0</v>
      </c>
      <c r="X2" s="5">
        <v>658173.07440000004</v>
      </c>
      <c r="Y2" s="5">
        <v>269850.96050400002</v>
      </c>
      <c r="Z2" s="5">
        <v>388322.11389600002</v>
      </c>
      <c r="AA2" s="5">
        <v>63619.555469666673</v>
      </c>
      <c r="AB2" s="5">
        <v>333470.51597366668</v>
      </c>
      <c r="AC2" s="5">
        <v>594628.29638700001</v>
      </c>
      <c r="AD2" s="5">
        <v>324702.5584263333</v>
      </c>
      <c r="AG2" s="1" t="s">
        <v>389</v>
      </c>
      <c r="AH2" s="13">
        <v>2.1499583352124301E-2</v>
      </c>
      <c r="AI2" s="5">
        <v>64154559.159999989</v>
      </c>
      <c r="AJ2" s="12">
        <v>3.351216754292526E-10</v>
      </c>
      <c r="AK2" s="13">
        <v>1.6156750003574399E-2</v>
      </c>
    </row>
    <row r="3" spans="1:37" x14ac:dyDescent="0.35">
      <c r="A3" s="1" t="s">
        <v>142</v>
      </c>
      <c r="B3" s="5">
        <v>10008615.83</v>
      </c>
      <c r="C3" s="5">
        <v>9444860.0099999998</v>
      </c>
      <c r="D3" s="5">
        <v>28991307.890000001</v>
      </c>
      <c r="E3" s="5">
        <v>30189315.84</v>
      </c>
      <c r="F3" s="5">
        <v>27299780.09</v>
      </c>
      <c r="G3" s="5">
        <v>26597200.510000002</v>
      </c>
      <c r="H3" s="5">
        <v>8435939.3599999975</v>
      </c>
      <c r="I3" s="5">
        <v>300988.26000000042</v>
      </c>
      <c r="K3" s="1" t="s">
        <v>358</v>
      </c>
      <c r="L3" s="5">
        <v>7135686.9700000007</v>
      </c>
      <c r="M3" s="5">
        <v>5136850.4000000004</v>
      </c>
      <c r="N3" s="5">
        <v>5254093.74</v>
      </c>
      <c r="O3" s="5">
        <v>2095.2599999999802</v>
      </c>
      <c r="P3" s="5">
        <v>7020538.8899999978</v>
      </c>
      <c r="Q3" s="5">
        <v>220789.25000000009</v>
      </c>
      <c r="R3" s="13">
        <v>-2.793967723846436E-9</v>
      </c>
      <c r="U3" s="1" t="s">
        <v>142</v>
      </c>
      <c r="V3" s="1" t="s">
        <v>41</v>
      </c>
      <c r="W3" s="5">
        <v>324702.5584263333</v>
      </c>
      <c r="X3" s="5">
        <v>709836.13890000002</v>
      </c>
      <c r="Y3" s="5">
        <v>291032.816949</v>
      </c>
      <c r="Z3" s="5">
        <v>418803.32195100008</v>
      </c>
      <c r="AA3" s="5">
        <v>203290.0250943334</v>
      </c>
      <c r="AB3" s="5">
        <v>494322.8420433334</v>
      </c>
      <c r="AC3" s="5">
        <v>722880.53974799998</v>
      </c>
      <c r="AD3" s="5">
        <v>540215.85528299992</v>
      </c>
      <c r="AG3" s="1" t="s">
        <v>370</v>
      </c>
      <c r="AH3" s="13">
        <v>22823.893788947698</v>
      </c>
      <c r="AI3" s="5">
        <v>17095636.19165137</v>
      </c>
      <c r="AJ3" s="12">
        <v>1.33507133241954E-3</v>
      </c>
      <c r="AK3" s="13">
        <v>5877.783637409826</v>
      </c>
    </row>
    <row r="4" spans="1:37" x14ac:dyDescent="0.35">
      <c r="A4" s="1" t="s">
        <v>338</v>
      </c>
      <c r="B4" s="5">
        <v>6219555.2300000004</v>
      </c>
      <c r="C4" s="5">
        <v>4973032.1899999985</v>
      </c>
      <c r="D4" s="5">
        <v>17815674.370000001</v>
      </c>
      <c r="E4" s="5">
        <v>33016720.32</v>
      </c>
      <c r="F4" s="5">
        <v>15712815.67999999</v>
      </c>
      <c r="G4" s="5">
        <v>15360769.6</v>
      </c>
      <c r="H4" s="5">
        <v>10563773.5</v>
      </c>
      <c r="I4" s="5">
        <v>325963.71000000049</v>
      </c>
      <c r="K4" s="1" t="s">
        <v>359</v>
      </c>
      <c r="L4" s="5">
        <v>7020538.8899999978</v>
      </c>
      <c r="M4" s="5">
        <v>4532895.17</v>
      </c>
      <c r="N4" s="5">
        <v>5533165.25</v>
      </c>
      <c r="O4" s="5">
        <v>9303.5700000001525</v>
      </c>
      <c r="P4" s="5">
        <v>6029572.379999998</v>
      </c>
      <c r="Q4" s="5">
        <v>230092.8200000003</v>
      </c>
      <c r="R4" s="13">
        <v>-1.862645149230957E-9</v>
      </c>
      <c r="U4" s="1" t="s">
        <v>338</v>
      </c>
      <c r="V4" s="1" t="s">
        <v>41</v>
      </c>
      <c r="W4" s="5">
        <v>540215.85528299992</v>
      </c>
      <c r="X4" s="5">
        <v>347144.74290000001</v>
      </c>
      <c r="Y4" s="5">
        <v>142329.34458899999</v>
      </c>
      <c r="Z4" s="5">
        <v>204815.398311</v>
      </c>
      <c r="AA4" s="5">
        <v>152513.61889358339</v>
      </c>
      <c r="AB4" s="5">
        <v>294842.96348258329</v>
      </c>
      <c r="AC4" s="5">
        <v>354482.20884299988</v>
      </c>
      <c r="AD4" s="5">
        <v>592517.63470041659</v>
      </c>
      <c r="AG4" s="1" t="s">
        <v>371</v>
      </c>
      <c r="AH4" s="13">
        <v>85829.308911125161</v>
      </c>
      <c r="AI4" s="5">
        <v>37709181.32500916</v>
      </c>
      <c r="AJ4" s="12">
        <v>2.2760851839072459E-3</v>
      </c>
      <c r="AK4" s="13">
        <v>8272.4684347716538</v>
      </c>
    </row>
    <row r="5" spans="1:37" x14ac:dyDescent="0.35">
      <c r="K5" s="1" t="s">
        <v>360</v>
      </c>
      <c r="L5" s="5">
        <v>6029572.379999998</v>
      </c>
      <c r="M5" s="5">
        <v>6523735.2999999998</v>
      </c>
      <c r="N5" s="5">
        <v>5879791.5600000015</v>
      </c>
      <c r="O5" s="5">
        <v>23987.410000000062</v>
      </c>
      <c r="P5" s="5">
        <v>6697503.5299999993</v>
      </c>
      <c r="Q5" s="5">
        <v>254080.23000000039</v>
      </c>
      <c r="R5" s="13">
        <v>9.3132257461547872E-10</v>
      </c>
      <c r="U5" s="1" t="s">
        <v>370</v>
      </c>
      <c r="V5" s="1" t="s">
        <v>6</v>
      </c>
      <c r="W5" s="5">
        <v>592517.63470041659</v>
      </c>
      <c r="X5" s="5">
        <v>291529.1809978871</v>
      </c>
      <c r="Y5" s="5">
        <v>119526.9642091337</v>
      </c>
      <c r="Z5" s="5">
        <v>172002.2167887534</v>
      </c>
      <c r="AA5" s="5">
        <v>184881.03378894771</v>
      </c>
      <c r="AB5" s="5">
        <v>304407.99799808138</v>
      </c>
      <c r="AC5" s="5">
        <v>296564.55431188841</v>
      </c>
      <c r="AD5" s="5">
        <v>579638.81770022237</v>
      </c>
    </row>
    <row r="6" spans="1:37" x14ac:dyDescent="0.35">
      <c r="K6" s="1" t="s">
        <v>361</v>
      </c>
      <c r="L6" s="5">
        <v>6697503.5299999993</v>
      </c>
      <c r="M6" s="5">
        <v>8222840.0499999998</v>
      </c>
      <c r="N6" s="5">
        <v>6310786.96</v>
      </c>
      <c r="O6" s="5">
        <v>13269.76999999964</v>
      </c>
      <c r="P6" s="5">
        <v>8622826.3899999987</v>
      </c>
      <c r="Q6" s="5">
        <v>267350</v>
      </c>
      <c r="R6" s="13">
        <v>-2.793967723846436E-9</v>
      </c>
      <c r="U6" s="1" t="s">
        <v>371</v>
      </c>
      <c r="V6" s="1" t="s">
        <v>797</v>
      </c>
      <c r="W6" s="5">
        <v>579638.81770022237</v>
      </c>
      <c r="X6" s="5">
        <v>736488.79315118655</v>
      </c>
      <c r="Y6" s="5">
        <v>301960.40519198647</v>
      </c>
      <c r="Z6" s="5">
        <v>434528.38795920007</v>
      </c>
      <c r="AA6" s="5">
        <v>409943.5889111252</v>
      </c>
      <c r="AB6" s="5">
        <v>711903.99410311168</v>
      </c>
      <c r="AC6" s="5">
        <v>736558.57176671841</v>
      </c>
      <c r="AD6" s="5">
        <v>604223.61674829712</v>
      </c>
    </row>
    <row r="7" spans="1:37" x14ac:dyDescent="0.35">
      <c r="K7" s="1" t="s">
        <v>362</v>
      </c>
      <c r="L7" s="5">
        <v>8622826.3899999987</v>
      </c>
      <c r="M7" s="5">
        <v>6522222.8899999987</v>
      </c>
      <c r="N7" s="5">
        <v>6679879.25</v>
      </c>
      <c r="O7" s="5">
        <v>12602.100000000029</v>
      </c>
      <c r="P7" s="5">
        <v>8477772.129999999</v>
      </c>
      <c r="Q7" s="5">
        <v>279952.09999999998</v>
      </c>
      <c r="R7" s="13">
        <v>1.862645149230957E-9</v>
      </c>
    </row>
    <row r="8" spans="1:37" x14ac:dyDescent="0.35">
      <c r="K8" s="1" t="s">
        <v>363</v>
      </c>
      <c r="L8" s="5">
        <v>8477772.129999999</v>
      </c>
      <c r="M8" s="5">
        <v>5664441.8100000015</v>
      </c>
      <c r="N8" s="5">
        <v>6948279.0800000001</v>
      </c>
      <c r="O8" s="5">
        <v>5188.7300000001551</v>
      </c>
      <c r="P8" s="5">
        <v>7199123.5900000008</v>
      </c>
      <c r="Q8" s="5">
        <v>285140.83000000019</v>
      </c>
      <c r="R8" s="13">
        <v>9.3132257461547872E-10</v>
      </c>
    </row>
    <row r="9" spans="1:37" x14ac:dyDescent="0.35">
      <c r="K9" s="1" t="s">
        <v>364</v>
      </c>
      <c r="L9" s="5">
        <v>7199123.5900000008</v>
      </c>
      <c r="M9" s="5">
        <v>8581803.1400000006</v>
      </c>
      <c r="N9" s="5">
        <v>7360834.8000000007</v>
      </c>
      <c r="O9" s="5">
        <v>15847.430000000229</v>
      </c>
      <c r="P9" s="5">
        <v>8435939.3599999975</v>
      </c>
      <c r="Q9" s="5">
        <v>300988.26000000042</v>
      </c>
      <c r="R9" s="13">
        <v>-1.862645149230957E-9</v>
      </c>
    </row>
    <row r="10" spans="1:37" x14ac:dyDescent="0.35">
      <c r="K10" s="1" t="s">
        <v>365</v>
      </c>
      <c r="L10" s="5">
        <v>8435939.3599999975</v>
      </c>
      <c r="M10" s="5">
        <v>10747789.109999999</v>
      </c>
      <c r="N10" s="5">
        <v>7633041.9699999997</v>
      </c>
      <c r="O10" s="5">
        <v>7109.8399999997346</v>
      </c>
      <c r="P10" s="5">
        <v>11557796.34</v>
      </c>
      <c r="Q10" s="5">
        <v>308098.10000000009</v>
      </c>
      <c r="R10" s="13">
        <v>1.862645149230957E-9</v>
      </c>
    </row>
    <row r="11" spans="1:37" x14ac:dyDescent="0.35">
      <c r="K11" s="1" t="s">
        <v>366</v>
      </c>
      <c r="L11" s="5">
        <v>11557796.34</v>
      </c>
      <c r="M11" s="5">
        <v>7067885.2600000016</v>
      </c>
      <c r="N11" s="5">
        <v>8079773.71</v>
      </c>
      <c r="O11" s="5">
        <v>17865.610000000339</v>
      </c>
      <c r="P11" s="5">
        <v>10563773.5</v>
      </c>
      <c r="Q11" s="5">
        <v>325963.71000000049</v>
      </c>
      <c r="R11" s="13">
        <v>1.862645149230957E-9</v>
      </c>
    </row>
  </sheetData>
  <pageMargins left="0.75" right="0.75" top="1" bottom="1" header="0.5" footer="0.5"/>
  <tableParts count="4">
    <tablePart r:id="rId1"/>
    <tablePart r:id="rId2"/>
    <tablePart r:id="rId3"/>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10"/>
  <sheetViews>
    <sheetView workbookViewId="0">
      <pane ySplit="1" topLeftCell="A2" activePane="bottomLeft" state="frozen"/>
      <selection pane="bottomLeft"/>
    </sheetView>
  </sheetViews>
  <sheetFormatPr defaultRowHeight="14.5" x14ac:dyDescent="0.35"/>
  <cols>
    <col min="1" max="1" width="13" customWidth="1"/>
    <col min="2" max="2" width="17" customWidth="1"/>
    <col min="3" max="7" width="12" customWidth="1"/>
    <col min="8" max="8" width="23" customWidth="1"/>
    <col min="9" max="9" width="26" customWidth="1"/>
    <col min="10" max="10" width="21" customWidth="1"/>
    <col min="11" max="11" width="16" customWidth="1"/>
  </cols>
  <sheetData>
    <row r="1" spans="1:11" x14ac:dyDescent="0.35">
      <c r="A1" s="15" t="s">
        <v>798</v>
      </c>
      <c r="B1" s="14" t="s">
        <v>799</v>
      </c>
      <c r="C1" s="14" t="s">
        <v>800</v>
      </c>
      <c r="D1" s="14" t="s">
        <v>801</v>
      </c>
      <c r="E1" s="14" t="s">
        <v>661</v>
      </c>
      <c r="F1" s="14" t="s">
        <v>802</v>
      </c>
      <c r="G1" s="14" t="s">
        <v>642</v>
      </c>
      <c r="H1" s="14" t="s">
        <v>803</v>
      </c>
      <c r="I1" s="14" t="s">
        <v>804</v>
      </c>
      <c r="J1" s="14" t="s">
        <v>805</v>
      </c>
      <c r="K1" s="14" t="s">
        <v>671</v>
      </c>
    </row>
    <row r="2" spans="1:11" x14ac:dyDescent="0.35">
      <c r="A2" s="5">
        <v>1</v>
      </c>
      <c r="B2" s="5">
        <v>1</v>
      </c>
      <c r="C2" s="1" t="s">
        <v>806</v>
      </c>
      <c r="D2" s="1" t="s">
        <v>807</v>
      </c>
      <c r="E2" s="1" t="s">
        <v>715</v>
      </c>
      <c r="F2" s="1" t="s">
        <v>808</v>
      </c>
      <c r="G2" s="1" t="s">
        <v>809</v>
      </c>
      <c r="H2" s="1" t="s">
        <v>810</v>
      </c>
      <c r="I2" s="1" t="s">
        <v>811</v>
      </c>
      <c r="J2" s="13">
        <v>1.647058823529413</v>
      </c>
      <c r="K2" s="1" t="s">
        <v>812</v>
      </c>
    </row>
    <row r="3" spans="1:11" x14ac:dyDescent="0.35">
      <c r="A3" s="5">
        <v>2</v>
      </c>
      <c r="B3" s="5">
        <v>2</v>
      </c>
      <c r="C3" s="1" t="s">
        <v>813</v>
      </c>
      <c r="D3" s="1" t="s">
        <v>814</v>
      </c>
      <c r="E3" s="1" t="s">
        <v>548</v>
      </c>
      <c r="F3" s="1" t="s">
        <v>815</v>
      </c>
      <c r="G3" s="1" t="s">
        <v>816</v>
      </c>
      <c r="H3" s="1" t="s">
        <v>817</v>
      </c>
      <c r="I3" s="1" t="s">
        <v>818</v>
      </c>
      <c r="J3" s="13">
        <v>2793686.4864355521</v>
      </c>
      <c r="K3" s="1" t="s">
        <v>819</v>
      </c>
    </row>
    <row r="4" spans="1:11" x14ac:dyDescent="0.35">
      <c r="A4" s="5">
        <v>3</v>
      </c>
      <c r="B4" s="5">
        <v>3</v>
      </c>
      <c r="C4" s="1" t="s">
        <v>813</v>
      </c>
      <c r="D4" s="1" t="s">
        <v>814</v>
      </c>
      <c r="E4" s="1" t="s">
        <v>693</v>
      </c>
      <c r="F4" s="1" t="s">
        <v>820</v>
      </c>
      <c r="G4" s="1" t="s">
        <v>821</v>
      </c>
      <c r="H4" s="1" t="s">
        <v>822</v>
      </c>
      <c r="I4" s="1" t="s">
        <v>823</v>
      </c>
      <c r="J4" s="13">
        <v>2772899.2752023409</v>
      </c>
      <c r="K4" s="1" t="s">
        <v>694</v>
      </c>
    </row>
    <row r="5" spans="1:11" x14ac:dyDescent="0.35">
      <c r="A5" s="5">
        <v>4</v>
      </c>
      <c r="B5" s="5">
        <v>4</v>
      </c>
      <c r="C5" s="1" t="s">
        <v>813</v>
      </c>
      <c r="D5" s="1" t="s">
        <v>824</v>
      </c>
      <c r="E5" s="1" t="s">
        <v>825</v>
      </c>
      <c r="F5" s="1" t="s">
        <v>826</v>
      </c>
      <c r="G5" s="1" t="s">
        <v>827</v>
      </c>
      <c r="H5" s="1" t="s">
        <v>828</v>
      </c>
      <c r="I5" s="1" t="s">
        <v>829</v>
      </c>
      <c r="J5" s="13">
        <v>4</v>
      </c>
      <c r="K5" s="1" t="s">
        <v>830</v>
      </c>
    </row>
    <row r="6" spans="1:11" x14ac:dyDescent="0.35">
      <c r="A6" s="5">
        <v>5</v>
      </c>
      <c r="B6" s="5">
        <v>5</v>
      </c>
      <c r="C6" s="1" t="s">
        <v>831</v>
      </c>
      <c r="D6" s="1" t="s">
        <v>70</v>
      </c>
      <c r="E6" s="1" t="s">
        <v>832</v>
      </c>
      <c r="F6" s="1" t="s">
        <v>833</v>
      </c>
      <c r="G6" s="1" t="s">
        <v>834</v>
      </c>
      <c r="H6" s="1" t="s">
        <v>835</v>
      </c>
      <c r="I6" s="1" t="s">
        <v>836</v>
      </c>
      <c r="J6" s="13">
        <v>1999776.4464204221</v>
      </c>
      <c r="K6" s="1" t="s">
        <v>694</v>
      </c>
    </row>
    <row r="7" spans="1:11" x14ac:dyDescent="0.35">
      <c r="A7" s="5">
        <v>6</v>
      </c>
      <c r="B7" s="5">
        <v>6</v>
      </c>
      <c r="C7" s="1" t="s">
        <v>831</v>
      </c>
      <c r="D7" s="1" t="s">
        <v>837</v>
      </c>
      <c r="E7" s="1" t="s">
        <v>637</v>
      </c>
      <c r="F7" s="1" t="s">
        <v>838</v>
      </c>
      <c r="G7" s="1" t="s">
        <v>839</v>
      </c>
      <c r="H7" s="1" t="s">
        <v>840</v>
      </c>
      <c r="I7" s="1" t="s">
        <v>841</v>
      </c>
      <c r="J7" s="13">
        <v>871551.31724689901</v>
      </c>
      <c r="K7" s="1" t="s">
        <v>842</v>
      </c>
    </row>
    <row r="8" spans="1:11" x14ac:dyDescent="0.35">
      <c r="A8" s="5">
        <v>7</v>
      </c>
      <c r="B8" s="5">
        <v>7</v>
      </c>
      <c r="C8" s="1" t="s">
        <v>831</v>
      </c>
      <c r="D8" s="1" t="s">
        <v>701</v>
      </c>
      <c r="E8" s="1" t="s">
        <v>629</v>
      </c>
      <c r="F8" s="1" t="s">
        <v>843</v>
      </c>
      <c r="G8" s="1" t="s">
        <v>844</v>
      </c>
      <c r="H8" s="1" t="s">
        <v>845</v>
      </c>
      <c r="I8" s="1" t="s">
        <v>846</v>
      </c>
      <c r="J8" s="13">
        <v>841657.00834862143</v>
      </c>
      <c r="K8" s="1" t="s">
        <v>847</v>
      </c>
    </row>
    <row r="9" spans="1:11" x14ac:dyDescent="0.35">
      <c r="A9" s="5">
        <v>8</v>
      </c>
      <c r="B9" s="5">
        <v>8</v>
      </c>
      <c r="C9" s="1" t="s">
        <v>831</v>
      </c>
      <c r="D9" s="1" t="s">
        <v>848</v>
      </c>
      <c r="E9" s="1" t="s">
        <v>633</v>
      </c>
      <c r="F9" s="1" t="s">
        <v>849</v>
      </c>
      <c r="G9" s="1" t="s">
        <v>850</v>
      </c>
      <c r="H9" s="1" t="s">
        <v>851</v>
      </c>
      <c r="I9" s="1" t="s">
        <v>852</v>
      </c>
      <c r="J9" s="13">
        <v>783329.02611566335</v>
      </c>
      <c r="K9" s="1" t="s">
        <v>687</v>
      </c>
    </row>
    <row r="10" spans="1:11" x14ac:dyDescent="0.35">
      <c r="A10" s="5">
        <v>9</v>
      </c>
      <c r="B10" s="5">
        <v>9</v>
      </c>
      <c r="C10" s="1" t="s">
        <v>831</v>
      </c>
      <c r="D10" s="1" t="s">
        <v>178</v>
      </c>
      <c r="E10" s="1" t="s">
        <v>641</v>
      </c>
      <c r="F10" s="1" t="s">
        <v>853</v>
      </c>
      <c r="G10" s="1" t="s">
        <v>854</v>
      </c>
      <c r="H10" s="1" t="s">
        <v>855</v>
      </c>
      <c r="I10" s="1" t="s">
        <v>856</v>
      </c>
      <c r="J10" s="13">
        <v>3.6624673318394798</v>
      </c>
      <c r="K10" s="1" t="s">
        <v>857</v>
      </c>
    </row>
  </sheetData>
  <pageMargins left="0.75" right="0.75" top="1" bottom="1" header="0.5" footer="0.5"/>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25"/>
  <sheetViews>
    <sheetView workbookViewId="0">
      <pane ySplit="1" topLeftCell="A2" activePane="bottomLeft" state="frozen"/>
      <selection pane="bottomLeft"/>
    </sheetView>
  </sheetViews>
  <sheetFormatPr defaultRowHeight="14.5" x14ac:dyDescent="0.35"/>
  <cols>
    <col min="1" max="1" width="30" customWidth="1"/>
    <col min="2" max="6" width="15" customWidth="1"/>
  </cols>
  <sheetData>
    <row r="1" spans="1:5" x14ac:dyDescent="0.35">
      <c r="A1" s="4" t="s">
        <v>858</v>
      </c>
      <c r="B1" s="9" t="s">
        <v>276</v>
      </c>
      <c r="C1" s="9" t="s">
        <v>859</v>
      </c>
      <c r="D1" s="9" t="s">
        <v>860</v>
      </c>
      <c r="E1" s="9" t="s">
        <v>861</v>
      </c>
    </row>
    <row r="2" spans="1:5" x14ac:dyDescent="0.35">
      <c r="A2" s="1" t="s">
        <v>8</v>
      </c>
      <c r="B2" s="152">
        <v>0</v>
      </c>
      <c r="C2" s="152">
        <v>37589315.840000004</v>
      </c>
      <c r="D2" s="152"/>
      <c r="E2" s="152"/>
    </row>
    <row r="3" spans="1:5" x14ac:dyDescent="0.35">
      <c r="A3" s="1" t="s">
        <v>34</v>
      </c>
      <c r="B3" s="152">
        <v>34795629.353564449</v>
      </c>
      <c r="C3" s="152"/>
      <c r="D3" s="152"/>
      <c r="E3" s="152">
        <v>2793686.4864355521</v>
      </c>
    </row>
    <row r="4" spans="1:5" x14ac:dyDescent="0.35">
      <c r="A4" s="1" t="s">
        <v>35</v>
      </c>
      <c r="B4" s="152">
        <v>34795629.353564449</v>
      </c>
      <c r="C4" s="152"/>
      <c r="D4" s="152">
        <v>1538102.552951446</v>
      </c>
      <c r="E4" s="152"/>
    </row>
    <row r="5" spans="1:5" x14ac:dyDescent="0.35">
      <c r="A5" s="1" t="s">
        <v>36</v>
      </c>
      <c r="B5" s="152">
        <v>36244781.586515903</v>
      </c>
      <c r="C5" s="152"/>
      <c r="D5" s="152"/>
      <c r="E5" s="152">
        <v>88950.320000000036</v>
      </c>
    </row>
    <row r="6" spans="1:5" x14ac:dyDescent="0.35">
      <c r="A6" s="1" t="s">
        <v>37</v>
      </c>
      <c r="B6" s="152">
        <v>35025386.272116713</v>
      </c>
      <c r="C6" s="152"/>
      <c r="D6" s="152"/>
      <c r="E6" s="152">
        <v>1219395.3143991921</v>
      </c>
    </row>
    <row r="7" spans="1:5" x14ac:dyDescent="0.35">
      <c r="A7" s="1" t="s">
        <v>38</v>
      </c>
      <c r="B7" s="152">
        <v>34816416.564797662</v>
      </c>
      <c r="C7" s="152"/>
      <c r="D7" s="152"/>
      <c r="E7" s="152">
        <v>208969.70731904401</v>
      </c>
    </row>
    <row r="8" spans="1:5" x14ac:dyDescent="0.35">
      <c r="A8" s="1" t="s">
        <v>276</v>
      </c>
      <c r="B8" s="152">
        <v>0</v>
      </c>
      <c r="C8" s="152">
        <v>34816416.564797662</v>
      </c>
      <c r="D8" s="152"/>
      <c r="E8" s="152"/>
    </row>
    <row r="9" spans="1:5" x14ac:dyDescent="0.35">
      <c r="A9" s="1"/>
      <c r="B9" s="152"/>
      <c r="C9" s="152"/>
      <c r="D9" s="152"/>
      <c r="E9" s="152"/>
    </row>
    <row r="12" spans="1:5" x14ac:dyDescent="0.35">
      <c r="A12" s="4" t="s">
        <v>862</v>
      </c>
      <c r="B12" s="9" t="s">
        <v>276</v>
      </c>
      <c r="C12" s="9" t="s">
        <v>859</v>
      </c>
      <c r="D12" s="9" t="s">
        <v>860</v>
      </c>
      <c r="E12" s="9" t="s">
        <v>861</v>
      </c>
    </row>
    <row r="13" spans="1:5" x14ac:dyDescent="0.35">
      <c r="A13" s="1" t="s">
        <v>8</v>
      </c>
      <c r="B13" s="152">
        <v>0</v>
      </c>
      <c r="C13" s="152">
        <v>24911442.949999999</v>
      </c>
      <c r="D13" s="152"/>
      <c r="E13" s="152"/>
    </row>
    <row r="14" spans="1:5" x14ac:dyDescent="0.35">
      <c r="A14" s="1" t="s">
        <v>701</v>
      </c>
      <c r="B14" s="152">
        <v>24069785.941651382</v>
      </c>
      <c r="C14" s="152"/>
      <c r="D14" s="152"/>
      <c r="E14" s="152">
        <v>841657.00834862143</v>
      </c>
    </row>
    <row r="15" spans="1:5" x14ac:dyDescent="0.35">
      <c r="A15" s="1" t="s">
        <v>863</v>
      </c>
      <c r="B15" s="152">
        <v>24069785.941651382</v>
      </c>
      <c r="C15" s="152"/>
      <c r="D15" s="152">
        <v>1315484.1402001069</v>
      </c>
      <c r="E15" s="152"/>
    </row>
    <row r="16" spans="1:5" x14ac:dyDescent="0.35">
      <c r="A16" s="1" t="s">
        <v>864</v>
      </c>
      <c r="B16" s="152">
        <v>25385270.08185149</v>
      </c>
      <c r="C16" s="152"/>
      <c r="D16" s="152">
        <v>345292.49000000022</v>
      </c>
      <c r="E16" s="152"/>
    </row>
    <row r="17" spans="1:5" x14ac:dyDescent="0.35">
      <c r="A17" s="1" t="s">
        <v>865</v>
      </c>
      <c r="B17" s="152">
        <v>25686479.886115659</v>
      </c>
      <c r="C17" s="152"/>
      <c r="D17" s="152"/>
      <c r="E17" s="152">
        <v>44082.68573582219</v>
      </c>
    </row>
    <row r="18" spans="1:5" x14ac:dyDescent="0.35">
      <c r="A18" s="1" t="s">
        <v>866</v>
      </c>
      <c r="B18" s="152">
        <v>25686479.886115659</v>
      </c>
      <c r="C18" s="152"/>
      <c r="D18" s="152">
        <v>8292.0900000000111</v>
      </c>
      <c r="E18" s="152"/>
    </row>
    <row r="19" spans="1:5" x14ac:dyDescent="0.35">
      <c r="A19" s="1" t="s">
        <v>276</v>
      </c>
      <c r="B19" s="152">
        <v>0</v>
      </c>
      <c r="C19" s="152">
        <v>25694771.976115659</v>
      </c>
      <c r="D19" s="152"/>
      <c r="E19" s="152"/>
    </row>
    <row r="22" spans="1:5" x14ac:dyDescent="0.35">
      <c r="A22" s="4" t="s">
        <v>867</v>
      </c>
      <c r="B22" s="9" t="s">
        <v>276</v>
      </c>
      <c r="C22" s="9" t="s">
        <v>859</v>
      </c>
      <c r="D22" s="9" t="s">
        <v>860</v>
      </c>
      <c r="E22" s="9" t="s">
        <v>861</v>
      </c>
    </row>
    <row r="23" spans="1:5" x14ac:dyDescent="0.35">
      <c r="A23" s="1" t="s">
        <v>8</v>
      </c>
      <c r="B23" s="152">
        <v>0</v>
      </c>
      <c r="C23" s="152">
        <v>30536909.829999998</v>
      </c>
      <c r="D23" s="152"/>
      <c r="E23" s="152"/>
    </row>
    <row r="24" spans="1:5" x14ac:dyDescent="0.35">
      <c r="A24" s="1" t="s">
        <v>868</v>
      </c>
      <c r="B24" s="152">
        <v>30536909.829999998</v>
      </c>
      <c r="C24" s="152"/>
      <c r="D24" s="152">
        <v>2409941.953037763</v>
      </c>
      <c r="E24" s="152"/>
    </row>
    <row r="25" spans="1:5" x14ac:dyDescent="0.35">
      <c r="A25" s="1" t="s">
        <v>869</v>
      </c>
      <c r="B25" s="152">
        <v>32848584.677246898</v>
      </c>
      <c r="C25" s="152"/>
      <c r="D25" s="152"/>
      <c r="E25" s="152">
        <v>98267.105790866277</v>
      </c>
    </row>
    <row r="26" spans="1:5" x14ac:dyDescent="0.35">
      <c r="A26" s="1" t="s">
        <v>870</v>
      </c>
      <c r="B26" s="152">
        <v>31408461.147246901</v>
      </c>
      <c r="C26" s="152"/>
      <c r="D26" s="152"/>
      <c r="E26" s="152">
        <v>1440123.530000001</v>
      </c>
    </row>
    <row r="27" spans="1:5" x14ac:dyDescent="0.35">
      <c r="A27" s="1" t="s">
        <v>276</v>
      </c>
      <c r="B27" s="152">
        <v>0</v>
      </c>
      <c r="C27" s="152">
        <v>31408461.147246901</v>
      </c>
      <c r="D27" s="152"/>
      <c r="E27" s="152"/>
    </row>
    <row r="30" spans="1:5" x14ac:dyDescent="0.35">
      <c r="A30" s="4" t="s">
        <v>871</v>
      </c>
      <c r="B30" s="9" t="s">
        <v>276</v>
      </c>
      <c r="C30" s="9" t="s">
        <v>859</v>
      </c>
      <c r="D30" s="9" t="s">
        <v>860</v>
      </c>
      <c r="E30" s="9" t="s">
        <v>861</v>
      </c>
    </row>
    <row r="31" spans="1:5" x14ac:dyDescent="0.35">
      <c r="A31" s="1" t="s">
        <v>872</v>
      </c>
      <c r="B31" s="152">
        <v>0</v>
      </c>
      <c r="C31" s="152">
        <v>-5625466.8799999952</v>
      </c>
      <c r="D31" s="152"/>
      <c r="E31" s="152"/>
    </row>
    <row r="32" spans="1:5" x14ac:dyDescent="0.35">
      <c r="A32" s="1" t="s">
        <v>873</v>
      </c>
      <c r="B32" s="152">
        <v>-6050482.9512491748</v>
      </c>
      <c r="C32" s="152"/>
      <c r="D32" s="152"/>
      <c r="E32" s="152">
        <v>425016.07124917948</v>
      </c>
    </row>
    <row r="33" spans="1:5" x14ac:dyDescent="0.35">
      <c r="A33" s="1" t="s">
        <v>874</v>
      </c>
      <c r="B33" s="152">
        <v>-6467123.8883486222</v>
      </c>
      <c r="C33" s="152"/>
      <c r="D33" s="152"/>
      <c r="E33" s="152">
        <v>416640.93709944747</v>
      </c>
    </row>
    <row r="34" spans="1:5" x14ac:dyDescent="0.35">
      <c r="A34" s="1" t="s">
        <v>875</v>
      </c>
      <c r="B34" s="152">
        <v>-6467123.8883486222</v>
      </c>
      <c r="C34" s="152"/>
      <c r="D34" s="152">
        <v>1660776.6302001071</v>
      </c>
      <c r="E34" s="152"/>
    </row>
    <row r="35" spans="1:5" x14ac:dyDescent="0.35">
      <c r="A35" s="1" t="s">
        <v>876</v>
      </c>
      <c r="B35" s="152">
        <v>-4842137.8538843365</v>
      </c>
      <c r="C35" s="152"/>
      <c r="D35" s="152"/>
      <c r="E35" s="152">
        <v>35790.595735822222</v>
      </c>
    </row>
    <row r="36" spans="1:5" x14ac:dyDescent="0.35">
      <c r="A36" s="1" t="s">
        <v>877</v>
      </c>
      <c r="B36" s="152">
        <v>-5743289.9952467997</v>
      </c>
      <c r="C36" s="152"/>
      <c r="D36" s="152"/>
      <c r="E36" s="152">
        <v>901152.14136246219</v>
      </c>
    </row>
    <row r="37" spans="1:5" x14ac:dyDescent="0.35">
      <c r="A37" s="1" t="s">
        <v>878</v>
      </c>
      <c r="B37" s="152">
        <v>-5743289.9952467997</v>
      </c>
      <c r="C37" s="152"/>
      <c r="D37" s="152">
        <v>80429.13787378557</v>
      </c>
      <c r="E37" s="152"/>
    </row>
    <row r="38" spans="1:5" x14ac:dyDescent="0.35">
      <c r="A38" s="1" t="s">
        <v>198</v>
      </c>
      <c r="B38" s="152">
        <v>-5713689.1711312355</v>
      </c>
      <c r="C38" s="152"/>
      <c r="D38" s="152"/>
      <c r="E38" s="152">
        <v>50828.313758221448</v>
      </c>
    </row>
    <row r="39" spans="1:5" x14ac:dyDescent="0.35">
      <c r="A39" s="1" t="s">
        <v>879</v>
      </c>
      <c r="B39" s="152">
        <v>0</v>
      </c>
      <c r="C39" s="152">
        <v>-5713689.1711312383</v>
      </c>
      <c r="D39" s="152"/>
      <c r="E39" s="152"/>
    </row>
    <row r="42" spans="1:5" x14ac:dyDescent="0.35">
      <c r="A42" s="4" t="s">
        <v>880</v>
      </c>
      <c r="B42" s="9" t="s">
        <v>881</v>
      </c>
      <c r="C42" s="9" t="s">
        <v>6</v>
      </c>
    </row>
    <row r="43" spans="1:5" x14ac:dyDescent="0.35">
      <c r="A43" s="1" t="s">
        <v>342</v>
      </c>
      <c r="B43" s="152">
        <v>37589315.840000004</v>
      </c>
      <c r="C43" s="152">
        <v>34816416.564797662</v>
      </c>
    </row>
    <row r="44" spans="1:5" x14ac:dyDescent="0.35">
      <c r="A44" s="1" t="s">
        <v>701</v>
      </c>
      <c r="B44" s="152">
        <v>33632627.259999998</v>
      </c>
      <c r="C44" s="152">
        <v>32790970.25165138</v>
      </c>
    </row>
    <row r="45" spans="1:5" x14ac:dyDescent="0.35">
      <c r="A45" s="1" t="s">
        <v>170</v>
      </c>
      <c r="B45" s="152">
        <v>24911442.949999999</v>
      </c>
      <c r="C45" s="152">
        <v>25694771.976115659</v>
      </c>
    </row>
    <row r="46" spans="1:5" x14ac:dyDescent="0.35">
      <c r="A46" s="1" t="s">
        <v>175</v>
      </c>
      <c r="B46" s="152">
        <v>30536909.829999998</v>
      </c>
      <c r="C46" s="152">
        <v>31408461.147246901</v>
      </c>
    </row>
    <row r="49" spans="1:6" x14ac:dyDescent="0.35">
      <c r="A49" s="4"/>
      <c r="B49" s="9"/>
    </row>
    <row r="50" spans="1:6" x14ac:dyDescent="0.35">
      <c r="A50" s="1"/>
      <c r="B50" s="152"/>
    </row>
    <row r="51" spans="1:6" x14ac:dyDescent="0.35">
      <c r="A51" s="1"/>
      <c r="B51" s="152"/>
    </row>
    <row r="52" spans="1:6" x14ac:dyDescent="0.35">
      <c r="A52" s="1"/>
      <c r="B52" s="152"/>
    </row>
    <row r="55" spans="1:6" x14ac:dyDescent="0.35">
      <c r="A55" s="4" t="s">
        <v>882</v>
      </c>
      <c r="B55" s="9" t="s">
        <v>285</v>
      </c>
      <c r="C55" s="9" t="s">
        <v>883</v>
      </c>
      <c r="D55" t="s">
        <v>1121</v>
      </c>
    </row>
    <row r="56" spans="1:6" x14ac:dyDescent="0.35">
      <c r="A56" s="1" t="s">
        <v>275</v>
      </c>
      <c r="B56" s="11">
        <v>23.539775051483051</v>
      </c>
      <c r="C56" s="11">
        <v>24</v>
      </c>
      <c r="D56" s="183">
        <f>B56-C56</f>
        <v>-0.46022494851694873</v>
      </c>
    </row>
    <row r="57" spans="1:6" x14ac:dyDescent="0.35">
      <c r="A57" s="1" t="s">
        <v>276</v>
      </c>
      <c r="B57" s="11">
        <v>25.647058823529409</v>
      </c>
      <c r="C57" s="11">
        <v>24</v>
      </c>
      <c r="D57" s="183">
        <f>B57-C57</f>
        <v>1.6470588235294095</v>
      </c>
    </row>
    <row r="58" spans="1:6" x14ac:dyDescent="0.35">
      <c r="A58" s="1" t="s">
        <v>277</v>
      </c>
      <c r="B58" s="11">
        <v>28.263294394628261</v>
      </c>
      <c r="C58" s="11">
        <v>24</v>
      </c>
      <c r="D58" s="183">
        <f>B58-C58</f>
        <v>4.2632943946282609</v>
      </c>
    </row>
    <row r="59" spans="1:6" x14ac:dyDescent="0.35">
      <c r="A59" s="1" t="s">
        <v>306</v>
      </c>
      <c r="B59" s="11">
        <v>24.661059962432521</v>
      </c>
      <c r="C59" s="11">
        <v>24</v>
      </c>
      <c r="D59" s="183">
        <f>B59-C59</f>
        <v>0.66105996243252108</v>
      </c>
    </row>
    <row r="62" spans="1:6" x14ac:dyDescent="0.35">
      <c r="A62" s="4" t="s">
        <v>884</v>
      </c>
      <c r="B62" s="9" t="s">
        <v>34</v>
      </c>
      <c r="C62" s="9" t="s">
        <v>35</v>
      </c>
      <c r="D62" s="9" t="s">
        <v>36</v>
      </c>
      <c r="E62" s="9" t="s">
        <v>37</v>
      </c>
      <c r="F62" s="9" t="s">
        <v>38</v>
      </c>
    </row>
    <row r="63" spans="1:6" x14ac:dyDescent="0.35">
      <c r="A63" s="1" t="s">
        <v>40</v>
      </c>
      <c r="B63" s="153">
        <f>SUMIFS(tbl_arr_monthly[new_logo_arr],tbl_arr_monthly[month_label],$A63,tbl_arr_monthly[segment],"Total")</f>
        <v>763989.24</v>
      </c>
      <c r="C63" s="153">
        <f>SUMIFS(tbl_arr_monthly[expansion_arr],tbl_arr_monthly[month_label],$A63,tbl_arr_monthly[segment],"Total")</f>
        <v>208523.88</v>
      </c>
      <c r="D63" s="153">
        <f>SUMIFS(tbl_arr_monthly[reactivation_arr],tbl_arr_monthly[month_label],$A63,tbl_arr_monthly[segment],"Total")</f>
        <v>5379</v>
      </c>
      <c r="E63" s="153">
        <f>SUMIFS(tbl_arr_monthly[contraction_arr],tbl_arr_monthly[month_label],$A63,tbl_arr_monthly[segment],"Total")</f>
        <v>-356906.4</v>
      </c>
      <c r="F63" s="153">
        <f>SUMIFS(tbl_arr_monthly[churn_arr],tbl_arr_monthly[month_label],$A63,tbl_arr_monthly[segment],"Total")</f>
        <v>-433404.48</v>
      </c>
    </row>
    <row r="64" spans="1:6" x14ac:dyDescent="0.35">
      <c r="A64" s="1" t="s">
        <v>42</v>
      </c>
      <c r="B64" s="153">
        <f>SUMIFS(tbl_arr_monthly[new_logo_arr],tbl_arr_monthly[month_label],$A64,tbl_arr_monthly[segment],"Total")</f>
        <v>398202.84</v>
      </c>
      <c r="C64" s="153">
        <f>SUMIFS(tbl_arr_monthly[expansion_arr],tbl_arr_monthly[month_label],$A64,tbl_arr_monthly[segment],"Total")</f>
        <v>450903.12</v>
      </c>
      <c r="D64" s="153">
        <f>SUMIFS(tbl_arr_monthly[reactivation_arr],tbl_arr_monthly[month_label],$A64,tbl_arr_monthly[segment],"Total")</f>
        <v>0</v>
      </c>
      <c r="E64" s="153">
        <f>SUMIFS(tbl_arr_monthly[contraction_arr],tbl_arr_monthly[month_label],$A64,tbl_arr_monthly[segment],"Total")</f>
        <v>-110046.24</v>
      </c>
      <c r="F64" s="153">
        <f>SUMIFS(tbl_arr_monthly[churn_arr],tbl_arr_monthly[month_label],$A64,tbl_arr_monthly[segment],"Total")</f>
        <v>-189502.92</v>
      </c>
    </row>
    <row r="65" spans="1:6" x14ac:dyDescent="0.35">
      <c r="A65" s="1" t="s">
        <v>43</v>
      </c>
      <c r="B65" s="153">
        <f>SUMIFS(tbl_arr_monthly[new_logo_arr],tbl_arr_monthly[month_label],$A65,tbl_arr_monthly[segment],"Total")</f>
        <v>482289.00000000012</v>
      </c>
      <c r="C65" s="153">
        <f>SUMIFS(tbl_arr_monthly[expansion_arr],tbl_arr_monthly[month_label],$A65,tbl_arr_monthly[segment],"Total")</f>
        <v>339030.96</v>
      </c>
      <c r="D65" s="153">
        <f>SUMIFS(tbl_arr_monthly[reactivation_arr],tbl_arr_monthly[month_label],$A65,tbl_arr_monthly[segment],"Total")</f>
        <v>7012.2</v>
      </c>
      <c r="E65" s="153">
        <f>SUMIFS(tbl_arr_monthly[contraction_arr],tbl_arr_monthly[month_label],$A65,tbl_arr_monthly[segment],"Total")</f>
        <v>-120597.12</v>
      </c>
      <c r="F65" s="153">
        <f>SUMIFS(tbl_arr_monthly[churn_arr],tbl_arr_monthly[month_label],$A65,tbl_arr_monthly[segment],"Total")</f>
        <v>-125741.04</v>
      </c>
    </row>
    <row r="66" spans="1:6" x14ac:dyDescent="0.35">
      <c r="A66" s="1" t="s">
        <v>44</v>
      </c>
      <c r="B66" s="153">
        <f>SUMIFS(tbl_arr_monthly[new_logo_arr],tbl_arr_monthly[month_label],$A66,tbl_arr_monthly[segment],"Total")</f>
        <v>289522.08</v>
      </c>
      <c r="C66" s="153">
        <f>SUMIFS(tbl_arr_monthly[expansion_arr],tbl_arr_monthly[month_label],$A66,tbl_arr_monthly[segment],"Total")</f>
        <v>568274.88</v>
      </c>
      <c r="D66" s="153">
        <f>SUMIFS(tbl_arr_monthly[reactivation_arr],tbl_arr_monthly[month_label],$A66,tbl_arr_monthly[segment],"Total")</f>
        <v>41077.32</v>
      </c>
      <c r="E66" s="153">
        <f>SUMIFS(tbl_arr_monthly[contraction_arr],tbl_arr_monthly[month_label],$A66,tbl_arr_monthly[segment],"Total")</f>
        <v>-140806.79999999999</v>
      </c>
      <c r="F66" s="153">
        <f>SUMIFS(tbl_arr_monthly[churn_arr],tbl_arr_monthly[month_label],$A66,tbl_arr_monthly[segment],"Total")</f>
        <v>-142746.84</v>
      </c>
    </row>
    <row r="67" spans="1:6" x14ac:dyDescent="0.35">
      <c r="A67" s="1" t="s">
        <v>45</v>
      </c>
      <c r="B67" s="153">
        <f>SUMIFS(tbl_arr_monthly[new_logo_arr],tbl_arr_monthly[month_label],$A67,tbl_arr_monthly[segment],"Total")</f>
        <v>266066.15999999997</v>
      </c>
      <c r="C67" s="153">
        <f>SUMIFS(tbl_arr_monthly[expansion_arr],tbl_arr_monthly[month_label],$A67,tbl_arr_monthly[segment],"Total")</f>
        <v>214662.36</v>
      </c>
      <c r="D67" s="153">
        <f>SUMIFS(tbl_arr_monthly[reactivation_arr],tbl_arr_monthly[month_label],$A67,tbl_arr_monthly[segment],"Total")</f>
        <v>12462.48</v>
      </c>
      <c r="E67" s="153">
        <f>SUMIFS(tbl_arr_monthly[contraction_arr],tbl_arr_monthly[month_label],$A67,tbl_arr_monthly[segment],"Total")</f>
        <v>-91199.88</v>
      </c>
      <c r="F67" s="153">
        <f>SUMIFS(tbl_arr_monthly[churn_arr],tbl_arr_monthly[month_label],$A67,tbl_arr_monthly[segment],"Total")</f>
        <v>-240511.2</v>
      </c>
    </row>
    <row r="68" spans="1:6" x14ac:dyDescent="0.35">
      <c r="A68" s="1" t="s">
        <v>46</v>
      </c>
      <c r="B68" s="153">
        <f>SUMIFS(tbl_arr_monthly[new_logo_arr],tbl_arr_monthly[month_label],$A68,tbl_arr_monthly[segment],"Total")</f>
        <v>408324</v>
      </c>
      <c r="C68" s="153">
        <f>SUMIFS(tbl_arr_monthly[expansion_arr],tbl_arr_monthly[month_label],$A68,tbl_arr_monthly[segment],"Total")</f>
        <v>332059.56000000011</v>
      </c>
      <c r="D68" s="153">
        <f>SUMIFS(tbl_arr_monthly[reactivation_arr],tbl_arr_monthly[month_label],$A68,tbl_arr_monthly[segment],"Total")</f>
        <v>0</v>
      </c>
      <c r="E68" s="153">
        <f>SUMIFS(tbl_arr_monthly[contraction_arr],tbl_arr_monthly[month_label],$A68,tbl_arr_monthly[segment],"Total")</f>
        <v>-45796.2</v>
      </c>
      <c r="F68" s="153">
        <f>SUMIFS(tbl_arr_monthly[churn_arr],tbl_arr_monthly[month_label],$A68,tbl_arr_monthly[segment],"Total")</f>
        <v>-147946.44</v>
      </c>
    </row>
    <row r="69" spans="1:6" x14ac:dyDescent="0.35">
      <c r="A69" s="1" t="s">
        <v>47</v>
      </c>
      <c r="B69" s="153">
        <f>SUMIFS(tbl_arr_monthly[new_logo_arr],tbl_arr_monthly[month_label],$A69,tbl_arr_monthly[segment],"Total")</f>
        <v>148504.68</v>
      </c>
      <c r="C69" s="153">
        <f>SUMIFS(tbl_arr_monthly[expansion_arr],tbl_arr_monthly[month_label],$A69,tbl_arr_monthly[segment],"Total")</f>
        <v>364045.92</v>
      </c>
      <c r="D69" s="153">
        <f>SUMIFS(tbl_arr_monthly[reactivation_arr],tbl_arr_monthly[month_label],$A69,tbl_arr_monthly[segment],"Total")</f>
        <v>2735.28</v>
      </c>
      <c r="E69" s="153">
        <f>SUMIFS(tbl_arr_monthly[contraction_arr],tbl_arr_monthly[month_label],$A69,tbl_arr_monthly[segment],"Total")</f>
        <v>-97174.92</v>
      </c>
      <c r="F69" s="153">
        <f>SUMIFS(tbl_arr_monthly[churn_arr],tbl_arr_monthly[month_label],$A69,tbl_arr_monthly[segment],"Total")</f>
        <v>-88185</v>
      </c>
    </row>
    <row r="70" spans="1:6" x14ac:dyDescent="0.35">
      <c r="A70" s="1" t="s">
        <v>48</v>
      </c>
      <c r="B70" s="153">
        <f>SUMIFS(tbl_arr_monthly[new_logo_arr],tbl_arr_monthly[month_label],$A70,tbl_arr_monthly[segment],"Total")</f>
        <v>254568</v>
      </c>
      <c r="C70" s="153">
        <f>SUMIFS(tbl_arr_monthly[expansion_arr],tbl_arr_monthly[month_label],$A70,tbl_arr_monthly[segment],"Total")</f>
        <v>339460.67999999988</v>
      </c>
      <c r="D70" s="153">
        <f>SUMIFS(tbl_arr_monthly[reactivation_arr],tbl_arr_monthly[month_label],$A70,tbl_arr_monthly[segment],"Total")</f>
        <v>2107.44</v>
      </c>
      <c r="E70" s="153">
        <f>SUMIFS(tbl_arr_monthly[contraction_arr],tbl_arr_monthly[month_label],$A70,tbl_arr_monthly[segment],"Total")</f>
        <v>-73086.12</v>
      </c>
      <c r="F70" s="153">
        <f>SUMIFS(tbl_arr_monthly[churn_arr],tbl_arr_monthly[month_label],$A70,tbl_arr_monthly[segment],"Total")</f>
        <v>-197466.12</v>
      </c>
    </row>
    <row r="71" spans="1:6" x14ac:dyDescent="0.35">
      <c r="A71" s="1" t="s">
        <v>49</v>
      </c>
      <c r="B71" s="153">
        <f>SUMIFS(tbl_arr_monthly[new_logo_arr],tbl_arr_monthly[month_label],$A71,tbl_arr_monthly[segment],"Total")</f>
        <v>265998.84000000003</v>
      </c>
      <c r="C71" s="153">
        <f>SUMIFS(tbl_arr_monthly[expansion_arr],tbl_arr_monthly[month_label],$A71,tbl_arr_monthly[segment],"Total")</f>
        <v>295512.48</v>
      </c>
      <c r="D71" s="153">
        <f>SUMIFS(tbl_arr_monthly[reactivation_arr],tbl_arr_monthly[month_label],$A71,tbl_arr_monthly[segment],"Total")</f>
        <v>0</v>
      </c>
      <c r="E71" s="153">
        <f>SUMIFS(tbl_arr_monthly[contraction_arr],tbl_arr_monthly[month_label],$A71,tbl_arr_monthly[segment],"Total")</f>
        <v>-46792.800000000003</v>
      </c>
      <c r="F71" s="153">
        <f>SUMIFS(tbl_arr_monthly[churn_arr],tbl_arr_monthly[month_label],$A71,tbl_arr_monthly[segment],"Total")</f>
        <v>-189627.96</v>
      </c>
    </row>
    <row r="72" spans="1:6" x14ac:dyDescent="0.35">
      <c r="A72" s="1" t="s">
        <v>50</v>
      </c>
      <c r="B72" s="153">
        <f>SUMIFS(tbl_arr_monthly[new_logo_arr],tbl_arr_monthly[month_label],$A72,tbl_arr_monthly[segment],"Total")</f>
        <v>427038.12</v>
      </c>
      <c r="C72" s="153">
        <f>SUMIFS(tbl_arr_monthly[expansion_arr],tbl_arr_monthly[month_label],$A72,tbl_arr_monthly[segment],"Total")</f>
        <v>493697.64</v>
      </c>
      <c r="D72" s="153">
        <f>SUMIFS(tbl_arr_monthly[reactivation_arr],tbl_arr_monthly[month_label],$A72,tbl_arr_monthly[segment],"Total")</f>
        <v>0</v>
      </c>
      <c r="E72" s="153">
        <f>SUMIFS(tbl_arr_monthly[contraction_arr],tbl_arr_monthly[month_label],$A72,tbl_arr_monthly[segment],"Total")</f>
        <v>-124445.04</v>
      </c>
      <c r="F72" s="153">
        <f>SUMIFS(tbl_arr_monthly[churn_arr],tbl_arr_monthly[month_label],$A72,tbl_arr_monthly[segment],"Total")</f>
        <v>-162396</v>
      </c>
    </row>
    <row r="73" spans="1:6" x14ac:dyDescent="0.35">
      <c r="A73" s="1" t="s">
        <v>51</v>
      </c>
      <c r="B73" s="153">
        <f>SUMIFS(tbl_arr_monthly[new_logo_arr],tbl_arr_monthly[month_label],$A73,tbl_arr_monthly[segment],"Total")</f>
        <v>771199.2</v>
      </c>
      <c r="C73" s="153">
        <f>SUMIFS(tbl_arr_monthly[expansion_arr],tbl_arr_monthly[month_label],$A73,tbl_arr_monthly[segment],"Total")</f>
        <v>366765</v>
      </c>
      <c r="D73" s="153">
        <f>SUMIFS(tbl_arr_monthly[reactivation_arr],tbl_arr_monthly[month_label],$A73,tbl_arr_monthly[segment],"Total")</f>
        <v>0</v>
      </c>
      <c r="E73" s="153">
        <f>SUMIFS(tbl_arr_monthly[contraction_arr],tbl_arr_monthly[month_label],$A73,tbl_arr_monthly[segment],"Total")</f>
        <v>-173070.72</v>
      </c>
      <c r="F73" s="153">
        <f>SUMIFS(tbl_arr_monthly[churn_arr],tbl_arr_monthly[month_label],$A73,tbl_arr_monthly[segment],"Total")</f>
        <v>-328723.8</v>
      </c>
    </row>
    <row r="74" spans="1:6" x14ac:dyDescent="0.35">
      <c r="A74" s="1" t="s">
        <v>52</v>
      </c>
      <c r="B74" s="153">
        <f>SUMIFS(tbl_arr_monthly[new_logo_arr],tbl_arr_monthly[month_label],$A74,tbl_arr_monthly[segment],"Total")</f>
        <v>815749.32000000007</v>
      </c>
      <c r="C74" s="153">
        <f>SUMIFS(tbl_arr_monthly[expansion_arr],tbl_arr_monthly[month_label],$A74,tbl_arr_monthly[segment],"Total")</f>
        <v>245648.28</v>
      </c>
      <c r="D74" s="153">
        <f>SUMIFS(tbl_arr_monthly[reactivation_arr],tbl_arr_monthly[month_label],$A74,tbl_arr_monthly[segment],"Total")</f>
        <v>37735.800000000003</v>
      </c>
      <c r="E74" s="153">
        <f>SUMIFS(tbl_arr_monthly[contraction_arr],tbl_arr_monthly[month_label],$A74,tbl_arr_monthly[segment],"Total")</f>
        <v>-77452.2</v>
      </c>
      <c r="F74" s="153">
        <f>SUMIFS(tbl_arr_monthly[churn_arr],tbl_arr_monthly[month_label],$A74,tbl_arr_monthly[segment],"Total")</f>
        <v>-220801.08</v>
      </c>
    </row>
    <row r="75" spans="1:6" x14ac:dyDescent="0.35">
      <c r="A75" s="1" t="s">
        <v>53</v>
      </c>
      <c r="B75" s="153">
        <f>SUMIFS(tbl_arr_monthly[new_logo_arr],tbl_arr_monthly[month_label],$A75,tbl_arr_monthly[segment],"Total")</f>
        <v>267424.44</v>
      </c>
      <c r="C75" s="153">
        <f>SUMIFS(tbl_arr_monthly[expansion_arr],tbl_arr_monthly[month_label],$A75,tbl_arr_monthly[segment],"Total")</f>
        <v>361621.20000000013</v>
      </c>
      <c r="D75" s="153">
        <f>SUMIFS(tbl_arr_monthly[reactivation_arr],tbl_arr_monthly[month_label],$A75,tbl_arr_monthly[segment],"Total")</f>
        <v>3132</v>
      </c>
      <c r="E75" s="153">
        <f>SUMIFS(tbl_arr_monthly[contraction_arr],tbl_arr_monthly[month_label],$A75,tbl_arr_monthly[segment],"Total")</f>
        <v>-451736.88</v>
      </c>
      <c r="F75" s="153">
        <f>SUMIFS(tbl_arr_monthly[churn_arr],tbl_arr_monthly[month_label],$A75,tbl_arr_monthly[segment],"Total")</f>
        <v>-188907.24</v>
      </c>
    </row>
    <row r="76" spans="1:6" x14ac:dyDescent="0.35">
      <c r="A76" s="1" t="s">
        <v>54</v>
      </c>
      <c r="B76" s="153">
        <f>SUMIFS(tbl_arr_monthly[new_logo_arr],tbl_arr_monthly[month_label],$A76,tbl_arr_monthly[segment],"Total")</f>
        <v>347874.72</v>
      </c>
      <c r="C76" s="153">
        <f>SUMIFS(tbl_arr_monthly[expansion_arr],tbl_arr_monthly[month_label],$A76,tbl_arr_monthly[segment],"Total")</f>
        <v>303632.88</v>
      </c>
      <c r="D76" s="153">
        <f>SUMIFS(tbl_arr_monthly[reactivation_arr],tbl_arr_monthly[month_label],$A76,tbl_arr_monthly[segment],"Total")</f>
        <v>10064.52</v>
      </c>
      <c r="E76" s="153">
        <f>SUMIFS(tbl_arr_monthly[contraction_arr],tbl_arr_monthly[month_label],$A76,tbl_arr_monthly[segment],"Total")</f>
        <v>-150335.16</v>
      </c>
      <c r="F76" s="153">
        <f>SUMIFS(tbl_arr_monthly[churn_arr],tbl_arr_monthly[month_label],$A76,tbl_arr_monthly[segment],"Total")</f>
        <v>-113861.4</v>
      </c>
    </row>
    <row r="77" spans="1:6" x14ac:dyDescent="0.35">
      <c r="A77" s="1" t="s">
        <v>55</v>
      </c>
      <c r="B77" s="153">
        <f>SUMIFS(tbl_arr_monthly[new_logo_arr],tbl_arr_monthly[month_label],$A77,tbl_arr_monthly[segment],"Total")</f>
        <v>452642.28</v>
      </c>
      <c r="C77" s="153">
        <f>SUMIFS(tbl_arr_monthly[expansion_arr],tbl_arr_monthly[month_label],$A77,tbl_arr_monthly[segment],"Total")</f>
        <v>237688.44</v>
      </c>
      <c r="D77" s="153">
        <f>SUMIFS(tbl_arr_monthly[reactivation_arr],tbl_arr_monthly[month_label],$A77,tbl_arr_monthly[segment],"Total")</f>
        <v>7982.76</v>
      </c>
      <c r="E77" s="153">
        <f>SUMIFS(tbl_arr_monthly[contraction_arr],tbl_arr_monthly[month_label],$A77,tbl_arr_monthly[segment],"Total")</f>
        <v>-205926.12</v>
      </c>
      <c r="F77" s="153">
        <f>SUMIFS(tbl_arr_monthly[churn_arr],tbl_arr_monthly[month_label],$A77,tbl_arr_monthly[segment],"Total")</f>
        <v>-233182.92</v>
      </c>
    </row>
    <row r="78" spans="1:6" x14ac:dyDescent="0.35">
      <c r="A78" s="1" t="s">
        <v>56</v>
      </c>
      <c r="B78" s="153">
        <f>SUMIFS(tbl_arr_monthly[new_logo_arr],tbl_arr_monthly[month_label],$A78,tbl_arr_monthly[segment],"Total")</f>
        <v>134448.48000000001</v>
      </c>
      <c r="C78" s="153">
        <f>SUMIFS(tbl_arr_monthly[expansion_arr],tbl_arr_monthly[month_label],$A78,tbl_arr_monthly[segment],"Total")</f>
        <v>820157.04</v>
      </c>
      <c r="D78" s="153">
        <f>SUMIFS(tbl_arr_monthly[reactivation_arr],tbl_arr_monthly[month_label],$A78,tbl_arr_monthly[segment],"Total")</f>
        <v>3643.2</v>
      </c>
      <c r="E78" s="153">
        <f>SUMIFS(tbl_arr_monthly[contraction_arr],tbl_arr_monthly[month_label],$A78,tbl_arr_monthly[segment],"Total")</f>
        <v>-61498.8</v>
      </c>
      <c r="F78" s="153">
        <f>SUMIFS(tbl_arr_monthly[churn_arr],tbl_arr_monthly[month_label],$A78,tbl_arr_monthly[segment],"Total")</f>
        <v>-286825.44</v>
      </c>
    </row>
    <row r="79" spans="1:6" x14ac:dyDescent="0.35">
      <c r="A79" s="1" t="s">
        <v>57</v>
      </c>
      <c r="B79" s="153">
        <f>SUMIFS(tbl_arr_monthly[new_logo_arr],tbl_arr_monthly[month_label],$A79,tbl_arr_monthly[segment],"Total")</f>
        <v>170863.2</v>
      </c>
      <c r="C79" s="153">
        <f>SUMIFS(tbl_arr_monthly[expansion_arr],tbl_arr_monthly[month_label],$A79,tbl_arr_monthly[segment],"Total")</f>
        <v>1119731.3999999999</v>
      </c>
      <c r="D79" s="153">
        <f>SUMIFS(tbl_arr_monthly[reactivation_arr],tbl_arr_monthly[month_label],$A79,tbl_arr_monthly[segment],"Total")</f>
        <v>14374.56</v>
      </c>
      <c r="E79" s="153">
        <f>SUMIFS(tbl_arr_monthly[contraction_arr],tbl_arr_monthly[month_label],$A79,tbl_arr_monthly[segment],"Total")</f>
        <v>-139362.12</v>
      </c>
      <c r="F79" s="153">
        <f>SUMIFS(tbl_arr_monthly[churn_arr],tbl_arr_monthly[month_label],$A79,tbl_arr_monthly[segment],"Total")</f>
        <v>-119750.52</v>
      </c>
    </row>
    <row r="80" spans="1:6" x14ac:dyDescent="0.35">
      <c r="A80" s="1" t="s">
        <v>58</v>
      </c>
      <c r="B80" s="153">
        <f>SUMIFS(tbl_arr_monthly[new_logo_arr],tbl_arr_monthly[month_label],$A80,tbl_arr_monthly[segment],"Total")</f>
        <v>650292.36</v>
      </c>
      <c r="C80" s="153">
        <f>SUMIFS(tbl_arr_monthly[expansion_arr],tbl_arr_monthly[month_label],$A80,tbl_arr_monthly[segment],"Total")</f>
        <v>510603.96</v>
      </c>
      <c r="D80" s="153">
        <f>SUMIFS(tbl_arr_monthly[reactivation_arr],tbl_arr_monthly[month_label],$A80,tbl_arr_monthly[segment],"Total")</f>
        <v>20643.240000000002</v>
      </c>
      <c r="E80" s="153">
        <f>SUMIFS(tbl_arr_monthly[contraction_arr],tbl_arr_monthly[month_label],$A80,tbl_arr_monthly[segment],"Total")</f>
        <v>-95907.839999999997</v>
      </c>
      <c r="F80" s="153">
        <f>SUMIFS(tbl_arr_monthly[churn_arr],tbl_arr_monthly[month_label],$A80,tbl_arr_monthly[segment],"Total")</f>
        <v>-562121.76</v>
      </c>
    </row>
    <row r="81" spans="1:6" x14ac:dyDescent="0.35">
      <c r="A81" s="1" t="s">
        <v>59</v>
      </c>
      <c r="B81" s="153">
        <f>'Forecast Drivers'!$D$77</f>
        <v>379723.84316577658</v>
      </c>
      <c r="C81" s="153">
        <f>'Forecast Drivers'!$D$78</f>
        <v>514111.27215857373</v>
      </c>
      <c r="D81" s="153">
        <f>'Forecast Drivers'!$D$79</f>
        <v>8534.9</v>
      </c>
      <c r="E81" s="153">
        <f>'Forecast Drivers'!$D$80</f>
        <v>-86848.288651548413</v>
      </c>
      <c r="F81" s="153">
        <f>'Forecast Drivers'!$D$81</f>
        <v>-160575.32635501667</v>
      </c>
    </row>
    <row r="82" spans="1:6" x14ac:dyDescent="0.35">
      <c r="A82" s="1" t="s">
        <v>61</v>
      </c>
      <c r="B82" s="153">
        <f>'Forecast Drivers'!$E$77</f>
        <v>78926.912128142969</v>
      </c>
      <c r="C82" s="153">
        <f>'Forecast Drivers'!$E$78</f>
        <v>514111.27215857373</v>
      </c>
      <c r="D82" s="153">
        <f>'Forecast Drivers'!$E$79</f>
        <v>8534.9</v>
      </c>
      <c r="E82" s="153">
        <f>'Forecast Drivers'!$E$80</f>
        <v>-99397.3496038679</v>
      </c>
      <c r="F82" s="153">
        <f>'Forecast Drivers'!$E$81</f>
        <v>-188223.04595611405</v>
      </c>
    </row>
    <row r="83" spans="1:6" x14ac:dyDescent="0.35">
      <c r="A83" s="1" t="s">
        <v>63</v>
      </c>
      <c r="B83" s="153">
        <f>'Forecast Drivers'!$F$77</f>
        <v>10415.98618357488</v>
      </c>
      <c r="C83" s="153">
        <f>'Forecast Drivers'!$F$78</f>
        <v>514111.27215857373</v>
      </c>
      <c r="D83" s="153">
        <f>'Forecast Drivers'!$F$79</f>
        <v>8534.9</v>
      </c>
      <c r="E83" s="153">
        <f>'Forecast Drivers'!$F$80</f>
        <v>-102725.15900228241</v>
      </c>
      <c r="F83" s="153">
        <f>'Forecast Drivers'!$F$81</f>
        <v>-188558.21999984354</v>
      </c>
    </row>
    <row r="84" spans="1:6" x14ac:dyDescent="0.35">
      <c r="A84" s="1" t="s">
        <v>64</v>
      </c>
      <c r="B84" s="153">
        <f>'Forecast Drivers'!$G$77</f>
        <v>11305.866570048311</v>
      </c>
      <c r="C84" s="153">
        <f>'Forecast Drivers'!$G$78</f>
        <v>514111.27215857373</v>
      </c>
      <c r="D84" s="153">
        <f>'Forecast Drivers'!$G$79</f>
        <v>8534.9</v>
      </c>
      <c r="E84" s="153">
        <f>'Forecast Drivers'!$G$80</f>
        <v>-140395.94148762702</v>
      </c>
      <c r="F84" s="153">
        <f>'Forecast Drivers'!$G$81</f>
        <v>-232938.51550390455</v>
      </c>
    </row>
    <row r="85" spans="1:6" x14ac:dyDescent="0.35">
      <c r="A85" s="1" t="s">
        <v>65</v>
      </c>
      <c r="B85" s="153">
        <f>'Forecast Drivers'!$H$77</f>
        <v>350964.27540200192</v>
      </c>
      <c r="C85" s="153">
        <f>'Forecast Drivers'!$H$78</f>
        <v>514111.27215857373</v>
      </c>
      <c r="D85" s="153">
        <f>'Forecast Drivers'!$H$79</f>
        <v>8534.9</v>
      </c>
      <c r="E85" s="153">
        <f>'Forecast Drivers'!$H$80</f>
        <v>-183611.10877066088</v>
      </c>
      <c r="F85" s="153">
        <f>'Forecast Drivers'!$H$81</f>
        <v>-301558.89956360729</v>
      </c>
    </row>
    <row r="86" spans="1:6" x14ac:dyDescent="0.35">
      <c r="A86" s="1" t="s">
        <v>66</v>
      </c>
      <c r="B86" s="153">
        <f>'Forecast Drivers'!$I$77</f>
        <v>351431.15011490264</v>
      </c>
      <c r="C86" s="153">
        <f>'Forecast Drivers'!$I$78</f>
        <v>514111.27215857373</v>
      </c>
      <c r="D86" s="153">
        <f>'Forecast Drivers'!$I$79</f>
        <v>8534.9</v>
      </c>
      <c r="E86" s="153">
        <f>'Forecast Drivers'!$I$80</f>
        <v>-351650.54688320425</v>
      </c>
      <c r="F86" s="153">
        <f>'Forecast Drivers'!$I$81</f>
        <v>-482466.41994055687</v>
      </c>
    </row>
    <row r="89" spans="1:6" x14ac:dyDescent="0.35">
      <c r="A89" s="4" t="s">
        <v>885</v>
      </c>
      <c r="B89" s="9" t="s">
        <v>886</v>
      </c>
      <c r="C89" s="9" t="s">
        <v>887</v>
      </c>
      <c r="D89" s="9" t="s">
        <v>888</v>
      </c>
    </row>
    <row r="90" spans="1:6" x14ac:dyDescent="0.35">
      <c r="A90" s="1" t="s">
        <v>77</v>
      </c>
      <c r="B90" s="153">
        <v>714807.53045252606</v>
      </c>
      <c r="C90" s="153">
        <v>386188.83559110289</v>
      </c>
      <c r="D90" s="153">
        <v>366168.10929849331</v>
      </c>
    </row>
    <row r="91" spans="1:6" x14ac:dyDescent="0.35">
      <c r="A91" s="1" t="s">
        <v>78</v>
      </c>
      <c r="B91" s="153">
        <v>1159750.8519158859</v>
      </c>
      <c r="C91" s="153">
        <v>534297.93248792272</v>
      </c>
      <c r="D91" s="153">
        <v>517792.04364095401</v>
      </c>
    </row>
    <row r="92" spans="1:6" x14ac:dyDescent="0.35">
      <c r="A92" s="1" t="s">
        <v>79</v>
      </c>
      <c r="B92" s="153">
        <v>1046300.3998817489</v>
      </c>
      <c r="C92" s="153">
        <v>298807.88062499999</v>
      </c>
      <c r="D92" s="153">
        <v>298807.88062499999</v>
      </c>
    </row>
    <row r="95" spans="1:6" x14ac:dyDescent="0.35">
      <c r="A95" s="4" t="s">
        <v>889</v>
      </c>
      <c r="B95" s="9" t="s">
        <v>275</v>
      </c>
      <c r="C95" s="9" t="s">
        <v>276</v>
      </c>
      <c r="D95" s="9" t="s">
        <v>277</v>
      </c>
    </row>
    <row r="96" spans="1:6" x14ac:dyDescent="0.35">
      <c r="A96" s="1" t="s">
        <v>53</v>
      </c>
      <c r="B96" s="152">
        <v>30180849.359999999</v>
      </c>
      <c r="C96" s="152">
        <v>30180849.359999999</v>
      </c>
      <c r="D96" s="152">
        <v>30180849.359999999</v>
      </c>
    </row>
    <row r="97" spans="1:4" x14ac:dyDescent="0.35">
      <c r="A97" s="1" t="s">
        <v>54</v>
      </c>
      <c r="B97" s="152">
        <v>30578224.920000002</v>
      </c>
      <c r="C97" s="152">
        <v>30578224.920000002</v>
      </c>
      <c r="D97" s="152">
        <v>30578224.920000002</v>
      </c>
    </row>
    <row r="98" spans="1:4" x14ac:dyDescent="0.35">
      <c r="A98" s="1" t="s">
        <v>55</v>
      </c>
      <c r="B98" s="152">
        <v>30837429.359999999</v>
      </c>
      <c r="C98" s="152">
        <v>30837429.359999999</v>
      </c>
      <c r="D98" s="152">
        <v>30837429.359999999</v>
      </c>
    </row>
    <row r="99" spans="1:4" x14ac:dyDescent="0.35">
      <c r="A99" s="1" t="s">
        <v>56</v>
      </c>
      <c r="B99" s="152">
        <v>31447353.84</v>
      </c>
      <c r="C99" s="152">
        <v>31447353.84</v>
      </c>
      <c r="D99" s="152">
        <v>31447353.84</v>
      </c>
    </row>
    <row r="100" spans="1:4" x14ac:dyDescent="0.35">
      <c r="A100" s="1" t="s">
        <v>57</v>
      </c>
      <c r="B100" s="152">
        <v>32493210.359999999</v>
      </c>
      <c r="C100" s="152">
        <v>32493210.359999999</v>
      </c>
      <c r="D100" s="152">
        <v>32493210.359999999</v>
      </c>
    </row>
    <row r="101" spans="1:4" x14ac:dyDescent="0.35">
      <c r="A101" s="1" t="s">
        <v>58</v>
      </c>
      <c r="B101" s="152">
        <v>33016720.32</v>
      </c>
      <c r="C101" s="152">
        <v>33016720.32</v>
      </c>
      <c r="D101" s="152">
        <v>33016720.32</v>
      </c>
    </row>
    <row r="102" spans="1:4" x14ac:dyDescent="0.35">
      <c r="A102" s="1" t="s">
        <v>59</v>
      </c>
      <c r="B102" s="152">
        <v>33488106.730017819</v>
      </c>
      <c r="C102" s="152">
        <v>33671666.720317788</v>
      </c>
      <c r="D102" s="152">
        <v>33868561.093475349</v>
      </c>
    </row>
    <row r="103" spans="1:4" x14ac:dyDescent="0.35">
      <c r="A103" s="1" t="s">
        <v>61</v>
      </c>
      <c r="B103" s="152">
        <v>33655579.61198955</v>
      </c>
      <c r="C103" s="152">
        <v>33985619.409044519</v>
      </c>
      <c r="D103" s="152">
        <v>34340318.132787019</v>
      </c>
    </row>
    <row r="104" spans="1:4" x14ac:dyDescent="0.35">
      <c r="A104" s="1" t="s">
        <v>63</v>
      </c>
      <c r="B104" s="152">
        <v>33760422.626777828</v>
      </c>
      <c r="C104" s="152">
        <v>34227398.188384548</v>
      </c>
      <c r="D104" s="152">
        <v>34730174.071336612</v>
      </c>
    </row>
    <row r="105" spans="1:4" x14ac:dyDescent="0.35">
      <c r="A105" s="1" t="s">
        <v>64</v>
      </c>
      <c r="B105" s="152">
        <v>33767560.746307321</v>
      </c>
      <c r="C105" s="152">
        <v>34388015.770121627</v>
      </c>
      <c r="D105" s="152">
        <v>35051309.95603966</v>
      </c>
    </row>
    <row r="106" spans="1:4" x14ac:dyDescent="0.35">
      <c r="A106" s="1" t="s">
        <v>65</v>
      </c>
      <c r="B106" s="152">
        <v>33869859.399719119</v>
      </c>
      <c r="C106" s="152">
        <v>34776456.209347941</v>
      </c>
      <c r="D106" s="152">
        <v>35733548.153585806</v>
      </c>
    </row>
    <row r="107" spans="1:4" x14ac:dyDescent="0.35">
      <c r="A107" s="1" t="s">
        <v>66</v>
      </c>
      <c r="B107" s="152">
        <v>33553421.70294353</v>
      </c>
      <c r="C107" s="152">
        <v>34816416.564797662</v>
      </c>
      <c r="D107" s="152">
        <v>36123036.630151823</v>
      </c>
    </row>
    <row r="108" spans="1:4" x14ac:dyDescent="0.35">
      <c r="A108" s="1" t="s">
        <v>735</v>
      </c>
      <c r="B108" s="152">
        <v>33386344.052736841</v>
      </c>
      <c r="C108" s="152">
        <v>34980843.625721462</v>
      </c>
      <c r="D108" s="152">
        <v>36615401.633812949</v>
      </c>
    </row>
    <row r="109" spans="1:4" x14ac:dyDescent="0.35">
      <c r="A109" s="1" t="s">
        <v>736</v>
      </c>
      <c r="B109" s="152">
        <v>33589004.789729327</v>
      </c>
      <c r="C109" s="152">
        <v>35451255.839126632</v>
      </c>
      <c r="D109" s="152">
        <v>37366816.850769617</v>
      </c>
    </row>
    <row r="110" spans="1:4" x14ac:dyDescent="0.35">
      <c r="A110" s="1" t="s">
        <v>737</v>
      </c>
      <c r="B110" s="152">
        <v>33480771.933094218</v>
      </c>
      <c r="C110" s="152">
        <v>35660175.064367257</v>
      </c>
      <c r="D110" s="152">
        <v>37895238.529743962</v>
      </c>
    </row>
    <row r="111" spans="1:4" x14ac:dyDescent="0.35">
      <c r="A111" s="1" t="s">
        <v>738</v>
      </c>
      <c r="B111" s="152">
        <v>33790832.733858608</v>
      </c>
      <c r="C111" s="152">
        <v>36215317.187265523</v>
      </c>
      <c r="D111" s="152">
        <v>38717243.126674727</v>
      </c>
    </row>
    <row r="112" spans="1:4" x14ac:dyDescent="0.35">
      <c r="A112" s="1" t="s">
        <v>739</v>
      </c>
      <c r="B112" s="152">
        <v>34174814.846448801</v>
      </c>
      <c r="C112" s="152">
        <v>36829763.613565274</v>
      </c>
      <c r="D112" s="152">
        <v>39588967.344560727</v>
      </c>
    </row>
    <row r="113" spans="1:6" x14ac:dyDescent="0.35">
      <c r="A113" s="1" t="s">
        <v>740</v>
      </c>
      <c r="B113" s="152">
        <v>34218830.669668108</v>
      </c>
      <c r="C113" s="152">
        <v>37158664.923159793</v>
      </c>
      <c r="D113" s="152">
        <v>40217306.250578463</v>
      </c>
    </row>
    <row r="114" spans="1:6" x14ac:dyDescent="0.35">
      <c r="A114" s="1" t="s">
        <v>743</v>
      </c>
      <c r="B114" s="152">
        <v>34766211.131775901</v>
      </c>
      <c r="C114" s="152">
        <v>37904852.393493682</v>
      </c>
      <c r="D114" s="152">
        <v>41199683.081724338</v>
      </c>
    </row>
    <row r="115" spans="1:6" x14ac:dyDescent="0.35">
      <c r="A115" s="1" t="s">
        <v>744</v>
      </c>
      <c r="B115" s="152">
        <v>35344012.741527162</v>
      </c>
      <c r="C115" s="152">
        <v>38674260.577043436</v>
      </c>
      <c r="D115" s="152">
        <v>42201158.446157597</v>
      </c>
    </row>
    <row r="116" spans="1:6" x14ac:dyDescent="0.35">
      <c r="A116" s="1" t="s">
        <v>745</v>
      </c>
      <c r="B116" s="152">
        <v>35802902.17568776</v>
      </c>
      <c r="C116" s="152">
        <v>39342497.824995451</v>
      </c>
      <c r="D116" s="152">
        <v>43116015.278551102</v>
      </c>
    </row>
    <row r="117" spans="1:6" x14ac:dyDescent="0.35">
      <c r="A117" s="1" t="s">
        <v>747</v>
      </c>
      <c r="B117" s="152">
        <v>36366787.999328427</v>
      </c>
      <c r="C117" s="152">
        <v>40096206.087394796</v>
      </c>
      <c r="D117" s="152">
        <v>44102914.680189043</v>
      </c>
    </row>
    <row r="118" spans="1:6" x14ac:dyDescent="0.35">
      <c r="A118" s="1" t="s">
        <v>748</v>
      </c>
      <c r="B118" s="152">
        <v>36942875.606585108</v>
      </c>
      <c r="C118" s="152">
        <v>40858106.729525968</v>
      </c>
      <c r="D118" s="152">
        <v>45092786.515011713</v>
      </c>
    </row>
    <row r="119" spans="1:6" x14ac:dyDescent="0.35">
      <c r="A119" s="1" t="s">
        <v>749</v>
      </c>
      <c r="B119" s="152">
        <v>37456821.811469272</v>
      </c>
      <c r="C119" s="152">
        <v>41566296.055865154</v>
      </c>
      <c r="D119" s="152">
        <v>46032954.526919052</v>
      </c>
    </row>
    <row r="122" spans="1:6" x14ac:dyDescent="0.35">
      <c r="A122" s="4" t="s">
        <v>890</v>
      </c>
      <c r="B122" s="9" t="s">
        <v>891</v>
      </c>
      <c r="C122" s="9" t="s">
        <v>892</v>
      </c>
    </row>
    <row r="123" spans="1:6" x14ac:dyDescent="0.35">
      <c r="A123" s="1" t="s">
        <v>893</v>
      </c>
      <c r="B123" s="153">
        <v>0</v>
      </c>
      <c r="C123" s="153">
        <v>0</v>
      </c>
    </row>
    <row r="124" spans="1:6" x14ac:dyDescent="0.35">
      <c r="A124" s="1" t="s">
        <v>894</v>
      </c>
      <c r="B124" s="153">
        <v>0</v>
      </c>
      <c r="C124" s="153">
        <v>0</v>
      </c>
    </row>
    <row r="125" spans="1:6" x14ac:dyDescent="0.35">
      <c r="A125" s="1" t="s">
        <v>306</v>
      </c>
      <c r="B125" s="153">
        <v>147322.040569365</v>
      </c>
      <c r="C125" s="153">
        <v>-637083.11137513816</v>
      </c>
    </row>
    <row r="128" spans="1:6" x14ac:dyDescent="0.35">
      <c r="A128" t="s">
        <v>1137</v>
      </c>
      <c r="B128" t="s">
        <v>276</v>
      </c>
      <c r="C128" t="s">
        <v>859</v>
      </c>
      <c r="D128" t="s">
        <v>860</v>
      </c>
      <c r="E128" t="s">
        <v>861</v>
      </c>
      <c r="F128" t="s">
        <v>1142</v>
      </c>
    </row>
    <row r="129" spans="1:6" x14ac:dyDescent="0.35">
      <c r="A129" s="188" t="s">
        <v>8</v>
      </c>
      <c r="B129">
        <v>0</v>
      </c>
      <c r="C129">
        <v>37589315.840000004</v>
      </c>
    </row>
    <row r="130" spans="1:6" x14ac:dyDescent="0.35">
      <c r="A130" s="188" t="s">
        <v>34</v>
      </c>
      <c r="B130">
        <v>34795629.353564449</v>
      </c>
      <c r="E130">
        <v>2793686.4864355521</v>
      </c>
      <c r="F130">
        <v>-2793686.4864355521</v>
      </c>
    </row>
    <row r="131" spans="1:6" x14ac:dyDescent="0.35">
      <c r="A131" s="188" t="s">
        <v>35</v>
      </c>
      <c r="B131">
        <v>34795629.353564449</v>
      </c>
      <c r="D131">
        <v>1538102.552951446</v>
      </c>
      <c r="F131">
        <v>1538102.552951446</v>
      </c>
    </row>
    <row r="132" spans="1:6" x14ac:dyDescent="0.35">
      <c r="A132" s="188" t="s">
        <v>37</v>
      </c>
      <c r="B132">
        <v>35114336.592116706</v>
      </c>
      <c r="E132">
        <v>1219395.3143991921</v>
      </c>
      <c r="F132">
        <v>-1219395.3143991921</v>
      </c>
    </row>
    <row r="133" spans="1:6" x14ac:dyDescent="0.35">
      <c r="A133" s="188" t="s">
        <v>1138</v>
      </c>
      <c r="B133">
        <v>34816416.564797662</v>
      </c>
      <c r="E133">
        <v>297920.02731904405</v>
      </c>
      <c r="F133">
        <v>-297920.02731904405</v>
      </c>
    </row>
    <row r="134" spans="1:6" x14ac:dyDescent="0.35">
      <c r="A134" s="188" t="s">
        <v>276</v>
      </c>
      <c r="B134">
        <v>0</v>
      </c>
      <c r="C134">
        <v>34816416.564797662</v>
      </c>
    </row>
    <row r="136" spans="1:6" x14ac:dyDescent="0.35">
      <c r="A136" t="s">
        <v>1139</v>
      </c>
      <c r="B136" t="s">
        <v>41</v>
      </c>
      <c r="C136" t="s">
        <v>275</v>
      </c>
      <c r="D136" t="s">
        <v>276</v>
      </c>
      <c r="E136" t="s">
        <v>277</v>
      </c>
      <c r="F136" t="s">
        <v>881</v>
      </c>
    </row>
    <row r="137" spans="1:6" x14ac:dyDescent="0.35">
      <c r="A137" s="188" t="s">
        <v>40</v>
      </c>
      <c r="B137">
        <f>IF(COUNTIFS(tbl_arr_monthly[month_label],$A137,tbl_arr_monthly[segment],"Total",tbl_arr_monthly[period_type],"Actual")=0,NA(),SUMIFS(tbl_arr_monthly[ending_arr],tbl_arr_monthly[month_label],$A137,tbl_arr_monthly[segment],"Total",tbl_arr_monthly[period_type],"Actual"))</f>
        <v>24682778.640000001</v>
      </c>
    </row>
    <row r="138" spans="1:6" x14ac:dyDescent="0.35">
      <c r="A138" s="188" t="s">
        <v>42</v>
      </c>
      <c r="B138">
        <f>IF(COUNTIFS(tbl_arr_monthly[month_label],$A138,tbl_arr_monthly[segment],"Total",tbl_arr_monthly[period_type],"Actual")=0,NA(),SUMIFS(tbl_arr_monthly[ending_arr],tbl_arr_monthly[month_label],$A138,tbl_arr_monthly[segment],"Total",tbl_arr_monthly[period_type],"Actual"))</f>
        <v>25232335.440000001</v>
      </c>
    </row>
    <row r="139" spans="1:6" x14ac:dyDescent="0.35">
      <c r="A139" s="188" t="s">
        <v>43</v>
      </c>
      <c r="B139">
        <f>IF(COUNTIFS(tbl_arr_monthly[month_label],$A139,tbl_arr_monthly[segment],"Total",tbl_arr_monthly[period_type],"Actual")=0,NA(),SUMIFS(tbl_arr_monthly[ending_arr],tbl_arr_monthly[month_label],$A139,tbl_arr_monthly[segment],"Total",tbl_arr_monthly[period_type],"Actual"))</f>
        <v>25814329.440000001</v>
      </c>
    </row>
    <row r="140" spans="1:6" x14ac:dyDescent="0.35">
      <c r="A140" s="188" t="s">
        <v>44</v>
      </c>
      <c r="B140">
        <f>IF(COUNTIFS(tbl_arr_monthly[month_label],$A140,tbl_arr_monthly[segment],"Total",tbl_arr_monthly[period_type],"Actual")=0,NA(),SUMIFS(tbl_arr_monthly[ending_arr],tbl_arr_monthly[month_label],$A140,tbl_arr_monthly[segment],"Total",tbl_arr_monthly[period_type],"Actual"))</f>
        <v>26429650.079999998</v>
      </c>
    </row>
    <row r="141" spans="1:6" x14ac:dyDescent="0.35">
      <c r="A141" s="188" t="s">
        <v>45</v>
      </c>
      <c r="B141">
        <f>IF(COUNTIFS(tbl_arr_monthly[month_label],$A141,tbl_arr_monthly[segment],"Total",tbl_arr_monthly[period_type],"Actual")=0,NA(),SUMIFS(tbl_arr_monthly[ending_arr],tbl_arr_monthly[month_label],$A141,tbl_arr_monthly[segment],"Total",tbl_arr_monthly[period_type],"Actual"))</f>
        <v>26591130</v>
      </c>
    </row>
    <row r="142" spans="1:6" x14ac:dyDescent="0.35">
      <c r="A142" s="188" t="s">
        <v>46</v>
      </c>
      <c r="B142">
        <f>IF(COUNTIFS(tbl_arr_monthly[month_label],$A142,tbl_arr_monthly[segment],"Total",tbl_arr_monthly[period_type],"Actual")=0,NA(),SUMIFS(tbl_arr_monthly[ending_arr],tbl_arr_monthly[month_label],$A142,tbl_arr_monthly[segment],"Total",tbl_arr_monthly[period_type],"Actual"))</f>
        <v>27137770.920000002</v>
      </c>
    </row>
    <row r="143" spans="1:6" x14ac:dyDescent="0.35">
      <c r="A143" s="188" t="s">
        <v>47</v>
      </c>
      <c r="B143">
        <f>IF(COUNTIFS(tbl_arr_monthly[month_label],$A143,tbl_arr_monthly[segment],"Total",tbl_arr_monthly[period_type],"Actual")=0,NA(),SUMIFS(tbl_arr_monthly[ending_arr],tbl_arr_monthly[month_label],$A143,tbl_arr_monthly[segment],"Total",tbl_arr_monthly[period_type],"Actual"))</f>
        <v>27467696.879999999</v>
      </c>
    </row>
    <row r="144" spans="1:6" x14ac:dyDescent="0.35">
      <c r="A144" s="188" t="s">
        <v>48</v>
      </c>
      <c r="B144">
        <f>IF(COUNTIFS(tbl_arr_monthly[month_label],$A144,tbl_arr_monthly[segment],"Total",tbl_arr_monthly[period_type],"Actual")=0,NA(),SUMIFS(tbl_arr_monthly[ending_arr],tbl_arr_monthly[month_label],$A144,tbl_arr_monthly[segment],"Total",tbl_arr_monthly[period_type],"Actual"))</f>
        <v>27793280.760000002</v>
      </c>
    </row>
    <row r="145" spans="1:6" x14ac:dyDescent="0.35">
      <c r="A145" s="188" t="s">
        <v>49</v>
      </c>
      <c r="B145">
        <f>IF(COUNTIFS(tbl_arr_monthly[month_label],$A145,tbl_arr_monthly[segment],"Total",tbl_arr_monthly[period_type],"Actual")=0,NA(),SUMIFS(tbl_arr_monthly[ending_arr],tbl_arr_monthly[month_label],$A145,tbl_arr_monthly[segment],"Total",tbl_arr_monthly[period_type],"Actual"))</f>
        <v>28118371.32</v>
      </c>
    </row>
    <row r="146" spans="1:6" x14ac:dyDescent="0.35">
      <c r="A146" s="188" t="s">
        <v>50</v>
      </c>
      <c r="B146">
        <f>IF(COUNTIFS(tbl_arr_monthly[month_label],$A146,tbl_arr_monthly[segment],"Total",tbl_arr_monthly[period_type],"Actual")=0,NA(),SUMIFS(tbl_arr_monthly[ending_arr],tbl_arr_monthly[month_label],$A146,tbl_arr_monthly[segment],"Total",tbl_arr_monthly[period_type],"Actual"))</f>
        <v>28752266.039999999</v>
      </c>
    </row>
    <row r="147" spans="1:6" x14ac:dyDescent="0.35">
      <c r="A147" s="188" t="s">
        <v>51</v>
      </c>
      <c r="B147">
        <f>IF(COUNTIFS(tbl_arr_monthly[month_label],$A147,tbl_arr_monthly[segment],"Total",tbl_arr_monthly[period_type],"Actual")=0,NA(),SUMIFS(tbl_arr_monthly[ending_arr],tbl_arr_monthly[month_label],$A147,tbl_arr_monthly[segment],"Total",tbl_arr_monthly[period_type],"Actual"))</f>
        <v>29388435.719999999</v>
      </c>
    </row>
    <row r="148" spans="1:6" x14ac:dyDescent="0.35">
      <c r="A148" s="188" t="s">
        <v>52</v>
      </c>
      <c r="B148">
        <f>IF(COUNTIFS(tbl_arr_monthly[month_label],$A148,tbl_arr_monthly[segment],"Total",tbl_arr_monthly[period_type],"Actual")=0,NA(),SUMIFS(tbl_arr_monthly[ending_arr],tbl_arr_monthly[month_label],$A148,tbl_arr_monthly[segment],"Total",tbl_arr_monthly[period_type],"Actual"))</f>
        <v>30189315.84</v>
      </c>
    </row>
    <row r="149" spans="1:6" x14ac:dyDescent="0.35">
      <c r="A149" s="188" t="s">
        <v>53</v>
      </c>
      <c r="B149">
        <f>IF(COUNTIFS(tbl_arr_monthly[month_label],$A149,tbl_arr_monthly[segment],"Total",tbl_arr_monthly[period_type],"Actual")=0,NA(),SUMIFS(tbl_arr_monthly[ending_arr],tbl_arr_monthly[month_label],$A149,tbl_arr_monthly[segment],"Total",tbl_arr_monthly[period_type],"Actual"))</f>
        <v>30180849.359999999</v>
      </c>
    </row>
    <row r="150" spans="1:6" x14ac:dyDescent="0.35">
      <c r="A150" s="188" t="s">
        <v>54</v>
      </c>
      <c r="B150">
        <f>IF(COUNTIFS(tbl_arr_monthly[month_label],$A150,tbl_arr_monthly[segment],"Total",tbl_arr_monthly[period_type],"Actual")=0,NA(),SUMIFS(tbl_arr_monthly[ending_arr],tbl_arr_monthly[month_label],$A150,tbl_arr_monthly[segment],"Total",tbl_arr_monthly[period_type],"Actual"))</f>
        <v>30578224.920000002</v>
      </c>
    </row>
    <row r="151" spans="1:6" x14ac:dyDescent="0.35">
      <c r="A151" s="188" t="s">
        <v>55</v>
      </c>
      <c r="B151">
        <f>IF(COUNTIFS(tbl_arr_monthly[month_label],$A151,tbl_arr_monthly[segment],"Total",tbl_arr_monthly[period_type],"Actual")=0,NA(),SUMIFS(tbl_arr_monthly[ending_arr],tbl_arr_monthly[month_label],$A151,tbl_arr_monthly[segment],"Total",tbl_arr_monthly[period_type],"Actual"))</f>
        <v>30837429.359999999</v>
      </c>
    </row>
    <row r="152" spans="1:6" x14ac:dyDescent="0.35">
      <c r="A152" s="188" t="s">
        <v>56</v>
      </c>
      <c r="B152">
        <f>IF(COUNTIFS(tbl_arr_monthly[month_label],$A152,tbl_arr_monthly[segment],"Total",tbl_arr_monthly[period_type],"Actual")=0,NA(),SUMIFS(tbl_arr_monthly[ending_arr],tbl_arr_monthly[month_label],$A152,tbl_arr_monthly[segment],"Total",tbl_arr_monthly[period_type],"Actual"))</f>
        <v>31447353.84</v>
      </c>
    </row>
    <row r="153" spans="1:6" x14ac:dyDescent="0.35">
      <c r="A153" s="188" t="s">
        <v>57</v>
      </c>
      <c r="B153">
        <f>IF(COUNTIFS(tbl_arr_monthly[month_label],$A153,tbl_arr_monthly[segment],"Total",tbl_arr_monthly[period_type],"Actual")=0,NA(),SUMIFS(tbl_arr_monthly[ending_arr],tbl_arr_monthly[month_label],$A153,tbl_arr_monthly[segment],"Total",tbl_arr_monthly[period_type],"Actual"))</f>
        <v>32493210.359999999</v>
      </c>
    </row>
    <row r="154" spans="1:6" x14ac:dyDescent="0.35">
      <c r="A154" s="188" t="s">
        <v>58</v>
      </c>
      <c r="B154">
        <f>IF(COUNTIFS(tbl_arr_monthly[month_label],$A154,tbl_arr_monthly[segment],"Total",tbl_arr_monthly[period_type],"Actual")=0,NA(),SUMIFS(tbl_arr_monthly[ending_arr],tbl_arr_monthly[month_label],$A154,tbl_arr_monthly[segment],"Total",tbl_arr_monthly[period_type],"Actual"))</f>
        <v>33016720.32</v>
      </c>
      <c r="C154">
        <f t="shared" ref="C154:C172" si="0">IFERROR(_xlfn.XLOOKUP($A154,$A$96:$A$119,$B$96:$B$119),NA())</f>
        <v>33016720.32</v>
      </c>
      <c r="D154">
        <f t="shared" ref="D154:D172" si="1">IFERROR(_xlfn.XLOOKUP($A154,$A$96:$A$119,$C$96:$C$119),NA())</f>
        <v>33016720.32</v>
      </c>
      <c r="E154">
        <f t="shared" ref="E154:E172" si="2">IFERROR(_xlfn.XLOOKUP($A154,$A$96:$A$119,$D$96:$D$119),NA())</f>
        <v>33016720.32</v>
      </c>
    </row>
    <row r="155" spans="1:6" x14ac:dyDescent="0.35">
      <c r="A155" s="188" t="s">
        <v>59</v>
      </c>
      <c r="C155">
        <f t="shared" si="0"/>
        <v>33488106.730017819</v>
      </c>
      <c r="D155">
        <f t="shared" si="1"/>
        <v>33671666.720317788</v>
      </c>
      <c r="E155">
        <f t="shared" si="2"/>
        <v>33868561.093475349</v>
      </c>
    </row>
    <row r="156" spans="1:6" x14ac:dyDescent="0.35">
      <c r="A156" s="188" t="s">
        <v>61</v>
      </c>
      <c r="C156">
        <f t="shared" si="0"/>
        <v>33655579.61198955</v>
      </c>
      <c r="D156">
        <f t="shared" si="1"/>
        <v>33985619.409044519</v>
      </c>
      <c r="E156">
        <f t="shared" si="2"/>
        <v>34340318.132787019</v>
      </c>
    </row>
    <row r="157" spans="1:6" x14ac:dyDescent="0.35">
      <c r="A157" s="188" t="s">
        <v>63</v>
      </c>
      <c r="C157">
        <f t="shared" si="0"/>
        <v>33760422.626777828</v>
      </c>
      <c r="D157">
        <f t="shared" si="1"/>
        <v>34227398.188384548</v>
      </c>
      <c r="E157">
        <f t="shared" si="2"/>
        <v>34730174.071336612</v>
      </c>
    </row>
    <row r="158" spans="1:6" x14ac:dyDescent="0.35">
      <c r="A158" s="188" t="s">
        <v>64</v>
      </c>
      <c r="C158">
        <f t="shared" si="0"/>
        <v>33767560.746307321</v>
      </c>
      <c r="D158">
        <f t="shared" si="1"/>
        <v>34388015.770121627</v>
      </c>
      <c r="E158">
        <f t="shared" si="2"/>
        <v>35051309.95603966</v>
      </c>
    </row>
    <row r="159" spans="1:6" x14ac:dyDescent="0.35">
      <c r="A159" s="188" t="s">
        <v>65</v>
      </c>
      <c r="C159">
        <f t="shared" si="0"/>
        <v>33869859.399719119</v>
      </c>
      <c r="D159">
        <f t="shared" si="1"/>
        <v>34776456.209347941</v>
      </c>
      <c r="E159">
        <f t="shared" si="2"/>
        <v>35733548.153585806</v>
      </c>
    </row>
    <row r="160" spans="1:6" x14ac:dyDescent="0.35">
      <c r="A160" s="188" t="s">
        <v>66</v>
      </c>
      <c r="C160">
        <f t="shared" si="0"/>
        <v>33553421.70294353</v>
      </c>
      <c r="D160">
        <f t="shared" si="1"/>
        <v>34816416.564797662</v>
      </c>
      <c r="E160">
        <f t="shared" si="2"/>
        <v>36123036.630151823</v>
      </c>
      <c r="F160" s="189">
        <f>$C$2</f>
        <v>37589315.840000004</v>
      </c>
    </row>
    <row r="161" spans="1:5" x14ac:dyDescent="0.35">
      <c r="A161" s="188" t="s">
        <v>735</v>
      </c>
      <c r="C161">
        <f t="shared" si="0"/>
        <v>33386344.052736841</v>
      </c>
      <c r="D161">
        <f t="shared" si="1"/>
        <v>34980843.625721462</v>
      </c>
      <c r="E161">
        <f t="shared" si="2"/>
        <v>36615401.633812949</v>
      </c>
    </row>
    <row r="162" spans="1:5" x14ac:dyDescent="0.35">
      <c r="A162" s="188" t="s">
        <v>736</v>
      </c>
      <c r="C162">
        <f t="shared" si="0"/>
        <v>33589004.789729327</v>
      </c>
      <c r="D162">
        <f t="shared" si="1"/>
        <v>35451255.839126632</v>
      </c>
      <c r="E162">
        <f t="shared" si="2"/>
        <v>37366816.850769617</v>
      </c>
    </row>
    <row r="163" spans="1:5" x14ac:dyDescent="0.35">
      <c r="A163" s="188" t="s">
        <v>737</v>
      </c>
      <c r="C163">
        <f t="shared" si="0"/>
        <v>33480771.933094218</v>
      </c>
      <c r="D163">
        <f t="shared" si="1"/>
        <v>35660175.064367257</v>
      </c>
      <c r="E163">
        <f t="shared" si="2"/>
        <v>37895238.529743962</v>
      </c>
    </row>
    <row r="164" spans="1:5" x14ac:dyDescent="0.35">
      <c r="A164" s="188" t="s">
        <v>738</v>
      </c>
      <c r="C164">
        <f t="shared" si="0"/>
        <v>33790832.733858608</v>
      </c>
      <c r="D164">
        <f t="shared" si="1"/>
        <v>36215317.187265523</v>
      </c>
      <c r="E164">
        <f t="shared" si="2"/>
        <v>38717243.126674727</v>
      </c>
    </row>
    <row r="165" spans="1:5" x14ac:dyDescent="0.35">
      <c r="A165" s="188" t="s">
        <v>739</v>
      </c>
      <c r="C165">
        <f t="shared" si="0"/>
        <v>34174814.846448801</v>
      </c>
      <c r="D165">
        <f t="shared" si="1"/>
        <v>36829763.613565274</v>
      </c>
      <c r="E165">
        <f t="shared" si="2"/>
        <v>39588967.344560727</v>
      </c>
    </row>
    <row r="166" spans="1:5" x14ac:dyDescent="0.35">
      <c r="A166" s="188" t="s">
        <v>740</v>
      </c>
      <c r="C166">
        <f t="shared" si="0"/>
        <v>34218830.669668108</v>
      </c>
      <c r="D166">
        <f t="shared" si="1"/>
        <v>37158664.923159793</v>
      </c>
      <c r="E166">
        <f t="shared" si="2"/>
        <v>40217306.250578463</v>
      </c>
    </row>
    <row r="167" spans="1:5" x14ac:dyDescent="0.35">
      <c r="A167" s="188" t="s">
        <v>743</v>
      </c>
      <c r="C167">
        <f t="shared" si="0"/>
        <v>34766211.131775901</v>
      </c>
      <c r="D167">
        <f t="shared" si="1"/>
        <v>37904852.393493682</v>
      </c>
      <c r="E167">
        <f t="shared" si="2"/>
        <v>41199683.081724338</v>
      </c>
    </row>
    <row r="168" spans="1:5" x14ac:dyDescent="0.35">
      <c r="A168" s="188" t="s">
        <v>744</v>
      </c>
      <c r="C168">
        <f t="shared" si="0"/>
        <v>35344012.741527162</v>
      </c>
      <c r="D168">
        <f t="shared" si="1"/>
        <v>38674260.577043436</v>
      </c>
      <c r="E168">
        <f t="shared" si="2"/>
        <v>42201158.446157597</v>
      </c>
    </row>
    <row r="169" spans="1:5" x14ac:dyDescent="0.35">
      <c r="A169" s="188" t="s">
        <v>745</v>
      </c>
      <c r="C169">
        <f t="shared" si="0"/>
        <v>35802902.17568776</v>
      </c>
      <c r="D169">
        <f t="shared" si="1"/>
        <v>39342497.824995451</v>
      </c>
      <c r="E169">
        <f t="shared" si="2"/>
        <v>43116015.278551102</v>
      </c>
    </row>
    <row r="170" spans="1:5" x14ac:dyDescent="0.35">
      <c r="A170" s="188" t="s">
        <v>747</v>
      </c>
      <c r="C170">
        <f t="shared" si="0"/>
        <v>36366787.999328427</v>
      </c>
      <c r="D170">
        <f t="shared" si="1"/>
        <v>40096206.087394796</v>
      </c>
      <c r="E170">
        <f t="shared" si="2"/>
        <v>44102914.680189043</v>
      </c>
    </row>
    <row r="171" spans="1:5" x14ac:dyDescent="0.35">
      <c r="A171" s="188" t="s">
        <v>748</v>
      </c>
      <c r="C171">
        <f t="shared" si="0"/>
        <v>36942875.606585108</v>
      </c>
      <c r="D171">
        <f t="shared" si="1"/>
        <v>40858106.729525968</v>
      </c>
      <c r="E171">
        <f t="shared" si="2"/>
        <v>45092786.515011713</v>
      </c>
    </row>
    <row r="172" spans="1:5" x14ac:dyDescent="0.35">
      <c r="A172" s="188" t="s">
        <v>749</v>
      </c>
      <c r="C172">
        <f t="shared" si="0"/>
        <v>37456821.811469272</v>
      </c>
      <c r="D172">
        <f t="shared" si="1"/>
        <v>41566296.055865154</v>
      </c>
      <c r="E172">
        <f t="shared" si="2"/>
        <v>46032954.526919052</v>
      </c>
    </row>
    <row r="175" spans="1:5" x14ac:dyDescent="0.35">
      <c r="A175" t="s">
        <v>1144</v>
      </c>
      <c r="B175" t="s">
        <v>73</v>
      </c>
      <c r="C175" t="s">
        <v>74</v>
      </c>
      <c r="D175" t="s">
        <v>1154</v>
      </c>
    </row>
    <row r="176" spans="1:5" x14ac:dyDescent="0.35">
      <c r="A176" t="str">
        <f>INDEX(tbl_retention_trend[month_label],1)</f>
        <v>Dec-24</v>
      </c>
      <c r="B176">
        <f>INDEX(tbl_retention_trend[NRR],1)</f>
        <v>0.998416840067466</v>
      </c>
      <c r="C176">
        <f>INDEX(tbl_retention_trend[GRR],1)</f>
        <v>0.88969684731742593</v>
      </c>
      <c r="D176">
        <v>1</v>
      </c>
    </row>
    <row r="177" spans="1:4" x14ac:dyDescent="0.35">
      <c r="A177" t="str">
        <f>INDEX(tbl_retention_trend[month_label],2)</f>
        <v>Jan-25</v>
      </c>
      <c r="B177">
        <f>INDEX(tbl_retention_trend[NRR],2)</f>
        <v>0.981346125464852</v>
      </c>
      <c r="C177">
        <f>INDEX(tbl_retention_trend[GRR],2)</f>
        <v>0.87250443494032437</v>
      </c>
      <c r="D177">
        <v>1</v>
      </c>
    </row>
    <row r="178" spans="1:4" x14ac:dyDescent="0.35">
      <c r="A178" t="str">
        <f>INDEX(tbl_retention_trend[month_label],3)</f>
        <v>Feb-25</v>
      </c>
      <c r="B178">
        <f>INDEX(tbl_retention_trend[NRR],3)</f>
        <v>0.99112616544966603</v>
      </c>
      <c r="C178">
        <f>INDEX(tbl_retention_trend[GRR],3)</f>
        <v>0.87113694383554952</v>
      </c>
      <c r="D178">
        <v>1</v>
      </c>
    </row>
    <row r="179" spans="1:4" x14ac:dyDescent="0.35">
      <c r="A179" t="str">
        <f>INDEX(tbl_retention_trend[month_label],4)</f>
        <v>Mar-25</v>
      </c>
      <c r="B179">
        <f>INDEX(tbl_retention_trend[NRR],4)</f>
        <v>0.99723105281282642</v>
      </c>
      <c r="C179">
        <f>INDEX(tbl_retention_trend[GRR],4)</f>
        <v>0.88072880774768914</v>
      </c>
      <c r="D179">
        <v>1</v>
      </c>
    </row>
    <row r="180" spans="1:4" x14ac:dyDescent="0.35">
      <c r="A180" t="str">
        <f>INDEX(tbl_retention_trend[month_label],5)</f>
        <v>Apr-25</v>
      </c>
      <c r="B180">
        <f>INDEX(tbl_retention_trend[NRR],5)</f>
        <v>0.99808923238269598</v>
      </c>
      <c r="C180">
        <f>INDEX(tbl_retention_trend[GRR],5)</f>
        <v>0.88590606920455062</v>
      </c>
      <c r="D180">
        <v>1</v>
      </c>
    </row>
    <row r="181" spans="1:4" x14ac:dyDescent="0.35">
      <c r="A181" t="str">
        <f>INDEX(tbl_retention_trend[month_label],6)</f>
        <v>May-25</v>
      </c>
      <c r="B181">
        <f>INDEX(tbl_retention_trend[NRR],6)</f>
        <v>0.99096034038803305</v>
      </c>
      <c r="C181">
        <f>INDEX(tbl_retention_trend[GRR],6)</f>
        <v>0.88113840928815901</v>
      </c>
      <c r="D181">
        <v>1</v>
      </c>
    </row>
    <row r="182" spans="1:4" x14ac:dyDescent="0.35">
      <c r="A182" t="str">
        <f>INDEX(tbl_retention_trend[month_label],7)</f>
        <v>Jun-25</v>
      </c>
      <c r="B182">
        <f>INDEX(tbl_retention_trend[NRR],7)</f>
        <v>0.99365193449215383</v>
      </c>
      <c r="C182">
        <f>INDEX(tbl_retention_trend[GRR],7)</f>
        <v>0.88573922665764293</v>
      </c>
      <c r="D182">
        <v>1</v>
      </c>
    </row>
    <row r="183" spans="1:4" x14ac:dyDescent="0.35">
      <c r="A183" t="str">
        <f>INDEX(tbl_retention_trend[month_label],8)</f>
        <v>Jul-25</v>
      </c>
      <c r="B183">
        <f>INDEX(tbl_retention_trend[NRR],8)</f>
        <v>0.99672188463912503</v>
      </c>
      <c r="C183">
        <f>INDEX(tbl_retention_trend[GRR],8)</f>
        <v>0.88901256844552945</v>
      </c>
      <c r="D183">
        <v>1</v>
      </c>
    </row>
    <row r="184" spans="1:4" x14ac:dyDescent="0.35">
      <c r="A184" t="str">
        <f>INDEX(tbl_retention_trend[month_label],9)</f>
        <v>Aug-25</v>
      </c>
      <c r="B184">
        <f>INDEX(tbl_retention_trend[NRR],9)</f>
        <v>1.006461373024454</v>
      </c>
      <c r="C184">
        <f>INDEX(tbl_retention_trend[GRR],9)</f>
        <v>0.89881545651286943</v>
      </c>
      <c r="D184">
        <v>1</v>
      </c>
    </row>
    <row r="185" spans="1:4" x14ac:dyDescent="0.35">
      <c r="A185" t="str">
        <f>INDEX(tbl_retention_trend[month_label],10)</f>
        <v>Sep-25</v>
      </c>
      <c r="B185">
        <f>INDEX(tbl_retention_trend[NRR],10)</f>
        <v>1.003269008683046</v>
      </c>
      <c r="C185">
        <f>INDEX(tbl_retention_trend[GRR],10)</f>
        <v>0.8963409004516194</v>
      </c>
      <c r="D185">
        <v>1</v>
      </c>
    </row>
    <row r="186" spans="1:4" x14ac:dyDescent="0.35">
      <c r="A186" t="str">
        <f>INDEX(tbl_retention_trend[month_label],11)</f>
        <v>Oct-25</v>
      </c>
      <c r="B186">
        <f>INDEX(tbl_retention_trend[NRR],11)</f>
        <v>1.0136189521213179</v>
      </c>
      <c r="C186">
        <f>INDEX(tbl_retention_trend[GRR],11)</f>
        <v>0.90138248255944775</v>
      </c>
      <c r="D186">
        <v>1</v>
      </c>
    </row>
    <row r="187" spans="1:4" x14ac:dyDescent="0.35">
      <c r="A187" t="str">
        <f>INDEX(tbl_retention_trend[month_label],12)</f>
        <v>Nov-25</v>
      </c>
      <c r="B187">
        <f>INDEX(tbl_retention_trend[NRR],12)</f>
        <v>0.99750061109359822</v>
      </c>
      <c r="C187">
        <f>INDEX(tbl_retention_trend[GRR],12)</f>
        <v>0.88973727544804204</v>
      </c>
      <c r="D187">
        <v>1</v>
      </c>
    </row>
    <row r="188" spans="1:4" x14ac:dyDescent="0.35">
      <c r="A188" t="str">
        <f>INDEX(tbl_retention_trend[month_label],13)</f>
        <v>Dec-25</v>
      </c>
      <c r="B188">
        <f>INDEX(tbl_retention_trend[NRR],13)</f>
        <v>1.0025108285104081</v>
      </c>
      <c r="C188">
        <f>INDEX(tbl_retention_trend[GRR],13)</f>
        <v>0.89980363905946736</v>
      </c>
      <c r="D188">
        <v>1</v>
      </c>
    </row>
    <row r="189" spans="1:4" x14ac:dyDescent="0.35">
      <c r="A189" t="str">
        <f>INDEX(tbl_retention_trend[month_label],14)</f>
        <v>Jan-26</v>
      </c>
      <c r="B189">
        <f>INDEX(tbl_retention_trend[NRR],14)</f>
        <v>1.0111161649991609</v>
      </c>
      <c r="C189">
        <f>INDEX(tbl_retention_trend[GRR],14)</f>
        <v>0.9094451207216272</v>
      </c>
      <c r="D189">
        <v>1</v>
      </c>
    </row>
    <row r="190" spans="1:4" x14ac:dyDescent="0.35">
      <c r="A190" t="str">
        <f>INDEX(tbl_retention_trend[month_label],15)</f>
        <v>Feb-26</v>
      </c>
      <c r="B190">
        <f>INDEX(tbl_retention_trend[NRR],15)</f>
        <v>1.0053468819927831</v>
      </c>
      <c r="C190">
        <f>INDEX(tbl_retention_trend[GRR],15)</f>
        <v>0.91351849751724756</v>
      </c>
      <c r="D190">
        <v>1</v>
      </c>
    </row>
    <row r="191" spans="1:4" x14ac:dyDescent="0.35">
      <c r="A191" t="str">
        <f>INDEX(tbl_retention_trend[month_label],16)</f>
        <v>Mar-26</v>
      </c>
      <c r="B191">
        <f>INDEX(tbl_retention_trend[NRR],16)</f>
        <v>0.99565965250964883</v>
      </c>
      <c r="C191">
        <f>INDEX(tbl_retention_trend[GRR],16)</f>
        <v>0.91096219154782743</v>
      </c>
      <c r="D191">
        <v>1</v>
      </c>
    </row>
    <row r="192" spans="1:4" x14ac:dyDescent="0.35">
      <c r="A192" t="str">
        <f>INDEX(tbl_retention_trend[month_label],17)</f>
        <v>Apr-26</v>
      </c>
      <c r="B192">
        <f>INDEX(tbl_retention_trend[NRR],17)</f>
        <v>0.98775324535057196</v>
      </c>
      <c r="C192">
        <f>INDEX(tbl_retention_trend[GRR],17)</f>
        <v>0.90302314740294143</v>
      </c>
      <c r="D192">
        <v>1</v>
      </c>
    </row>
    <row r="193" spans="1:5" x14ac:dyDescent="0.35">
      <c r="A193" t="str">
        <f>INDEX(tbl_retention_trend[month_label],18)</f>
        <v>May-26</v>
      </c>
      <c r="B193">
        <f>INDEX(tbl_retention_trend[NRR],18)</f>
        <v>1.022051628494163</v>
      </c>
      <c r="C193">
        <f>INDEX(tbl_retention_trend[GRR],18)</f>
        <v>0.91141084715091081</v>
      </c>
      <c r="D193">
        <v>1</v>
      </c>
    </row>
    <row r="194" spans="1:5" x14ac:dyDescent="0.35">
      <c r="A194" t="str">
        <f>INDEX(tbl_retention_trend[month_label],19)</f>
        <v>Jun-26</v>
      </c>
      <c r="B194">
        <f>INDEX(tbl_retention_trend[NRR],19)</f>
        <v>1.017911280975615</v>
      </c>
      <c r="C194">
        <f>INDEX(tbl_retention_trend[GRR],19)</f>
        <v>0.89557676611119386</v>
      </c>
      <c r="D194">
        <v>1</v>
      </c>
    </row>
    <row r="196" spans="1:5" x14ac:dyDescent="0.35">
      <c r="A196" t="s">
        <v>608</v>
      </c>
      <c r="B196" t="s">
        <v>1145</v>
      </c>
      <c r="C196" t="s">
        <v>1146</v>
      </c>
    </row>
    <row r="197" spans="1:5" x14ac:dyDescent="0.35">
      <c r="A197" t="str">
        <f>INDEX(tbl_sales_efficiency[fiscal_quarter],1)</f>
        <v>2024Q2</v>
      </c>
      <c r="B197">
        <f>INDEX(tbl_sales_efficiency[magic_number],1)</f>
        <v>1.422220877505642</v>
      </c>
      <c r="C197">
        <f>INDEX(tbl_sales_efficiency[net_arr_sales_efficiency],1)</f>
        <v>0.50188789782836862</v>
      </c>
    </row>
    <row r="198" spans="1:5" x14ac:dyDescent="0.35">
      <c r="A198" t="str">
        <f>INDEX(tbl_sales_efficiency[fiscal_quarter],2)</f>
        <v>2024Q3</v>
      </c>
      <c r="B198">
        <f>INDEX(tbl_sales_efficiency[magic_number],2)</f>
        <v>0.44262941795474853</v>
      </c>
      <c r="C198">
        <f>INDEX(tbl_sales_efficiency[net_arr_sales_efficiency],2)</f>
        <v>0.26693531154974143</v>
      </c>
    </row>
    <row r="199" spans="1:5" x14ac:dyDescent="0.35">
      <c r="A199" t="str">
        <f>INDEX(tbl_sales_efficiency[fiscal_quarter],3)</f>
        <v>2024Q4</v>
      </c>
      <c r="B199">
        <f>INDEX(tbl_sales_efficiency[magic_number],3)</f>
        <v>0.2854476344742144</v>
      </c>
      <c r="C199">
        <f>INDEX(tbl_sales_efficiency[net_arr_sales_efficiency],3)</f>
        <v>0.64080553361886117</v>
      </c>
    </row>
    <row r="200" spans="1:5" x14ac:dyDescent="0.35">
      <c r="A200" t="str">
        <f>INDEX(tbl_sales_efficiency[fiscal_quarter],4)</f>
        <v>2025Q1</v>
      </c>
      <c r="B200">
        <f>INDEX(tbl_sales_efficiency[magic_number],4)</f>
        <v>0.56003342068178308</v>
      </c>
      <c r="C200">
        <f>INDEX(tbl_sales_efficiency[net_arr_sales_efficiency],4)</f>
        <v>0.39081374938670749</v>
      </c>
    </row>
    <row r="201" spans="1:5" x14ac:dyDescent="0.35">
      <c r="A201" t="str">
        <f>INDEX(tbl_sales_efficiency[fiscal_quarter],5)</f>
        <v>2025Q2</v>
      </c>
      <c r="B201">
        <f>INDEX(tbl_sales_efficiency[magic_number],5)</f>
        <v>0.45746701965102299</v>
      </c>
      <c r="C201">
        <f>INDEX(tbl_sales_efficiency[net_arr_sales_efficiency],5)</f>
        <v>0.38810234791511378</v>
      </c>
    </row>
    <row r="202" spans="1:5" x14ac:dyDescent="0.35">
      <c r="A202" t="str">
        <f>INDEX(tbl_sales_efficiency[fiscal_quarter],6)</f>
        <v>2025Q3</v>
      </c>
      <c r="B202">
        <f>INDEX(tbl_sales_efficiency[magic_number],6)</f>
        <v>0.3395122759927976</v>
      </c>
      <c r="C202">
        <f>INDEX(tbl_sales_efficiency[net_arr_sales_efficiency],6)</f>
        <v>0.2748327494438374</v>
      </c>
    </row>
    <row r="203" spans="1:5" x14ac:dyDescent="0.35">
      <c r="A203" t="str">
        <f>INDEX(tbl_sales_efficiency[fiscal_quarter],7)</f>
        <v>2025Q4</v>
      </c>
      <c r="B203">
        <f>INDEX(tbl_sales_efficiency[magic_number],7)</f>
        <v>0.35164929481827628</v>
      </c>
      <c r="C203">
        <f>INDEX(tbl_sales_efficiency[net_arr_sales_efficiency],7)</f>
        <v>0.59311927863170077</v>
      </c>
    </row>
    <row r="204" spans="1:5" x14ac:dyDescent="0.35">
      <c r="A204" t="str">
        <f>INDEX(tbl_sales_efficiency[fiscal_quarter],8)</f>
        <v>2026Q1</v>
      </c>
      <c r="B204">
        <f>INDEX(tbl_sales_efficiency[magic_number],8)</f>
        <v>0.4418127845196993</v>
      </c>
      <c r="C204">
        <f>INDEX(tbl_sales_efficiency[net_arr_sales_efficiency],8)</f>
        <v>0.1763304205022517</v>
      </c>
    </row>
    <row r="205" spans="1:5" x14ac:dyDescent="0.35">
      <c r="A205" t="str">
        <f>INDEX(tbl_sales_efficiency[fiscal_quarter],9)</f>
        <v>2026Q2</v>
      </c>
      <c r="B205">
        <f>INDEX(tbl_sales_efficiency[magic_number],9)</f>
        <v>0.34277260786714608</v>
      </c>
      <c r="C205">
        <f>INDEX(tbl_sales_efficiency[net_arr_sales_efficiency],9)</f>
        <v>0.63969002065749714</v>
      </c>
    </row>
    <row r="207" spans="1:5" x14ac:dyDescent="0.35">
      <c r="A207" t="s">
        <v>1147</v>
      </c>
      <c r="B207" t="s">
        <v>276</v>
      </c>
      <c r="C207" t="s">
        <v>859</v>
      </c>
      <c r="D207" t="s">
        <v>860</v>
      </c>
      <c r="E207" t="s">
        <v>861</v>
      </c>
    </row>
    <row r="208" spans="1:5" x14ac:dyDescent="0.35">
      <c r="A208" s="188" t="s">
        <v>1148</v>
      </c>
      <c r="B208">
        <v>0</v>
      </c>
      <c r="C208">
        <f>'Cash Flow'!$J$74</f>
        <v>-2788656.7111312398</v>
      </c>
    </row>
    <row r="209" spans="1:5" x14ac:dyDescent="0.35">
      <c r="A209" s="188" t="s">
        <v>1155</v>
      </c>
      <c r="B209">
        <f>IF(MAX('Cash Flow'!$J$74,'Cash Flow'!$J$74+'Cash Flow'!$J$75)&lt;=0,MAX('Cash Flow'!$J$74,'Cash Flow'!$J$74+'Cash Flow'!$J$75),MIN('Cash Flow'!$J$74,'Cash Flow'!$J$74+'Cash Flow'!$J$75))</f>
        <v>-2788656.7111312398</v>
      </c>
      <c r="D209" t="str">
        <f>IF('Cash Flow'!$J$75&gt;=0,IF(MAX('Cash Flow'!$J$74,'Cash Flow'!$J$74+'Cash Flow'!$J$75)&lt;=0,MIN('Cash Flow'!$J$74,'Cash Flow'!$J$74+'Cash Flow'!$J$75)-MAX('Cash Flow'!$J$74,'Cash Flow'!$J$74+'Cash Flow'!$J$75),MAX('Cash Flow'!$J$74,'Cash Flow'!$J$74+'Cash Flow'!$J$75)-MIN('Cash Flow'!$J$74,'Cash Flow'!$J$74+'Cash Flow'!$J$75)),"")</f>
        <v/>
      </c>
      <c r="E209">
        <f>IF('Cash Flow'!$J$75&lt;0,IF(MAX('Cash Flow'!$J$74,'Cash Flow'!$J$74+'Cash Flow'!$J$75)&lt;=0,MIN('Cash Flow'!$J$74,'Cash Flow'!$J$74+'Cash Flow'!$J$75)-MAX('Cash Flow'!$J$74,'Cash Flow'!$J$74+'Cash Flow'!$J$75),MAX('Cash Flow'!$J$74,'Cash Flow'!$J$74+'Cash Flow'!$J$75)-MIN('Cash Flow'!$J$74,'Cash Flow'!$J$74+'Cash Flow'!$J$75)),"")</f>
        <v>-292527.62632576562</v>
      </c>
    </row>
    <row r="210" spans="1:5" x14ac:dyDescent="0.35">
      <c r="A210" s="188" t="s">
        <v>1070</v>
      </c>
      <c r="B210">
        <f>IF(MAX(('Cash Flow'!$J$74+'Cash Flow'!$J$75),('Cash Flow'!$J$74+'Cash Flow'!$J$75)+'Cash Flow'!$J$76)&lt;=0,MAX(('Cash Flow'!$J$74+'Cash Flow'!$J$75),('Cash Flow'!$J$74+'Cash Flow'!$J$75)+'Cash Flow'!$J$76),MIN(('Cash Flow'!$J$74+'Cash Flow'!$J$75),('Cash Flow'!$J$74+'Cash Flow'!$J$75)+'Cash Flow'!$J$76))</f>
        <v>-2954504.657457008</v>
      </c>
      <c r="D210">
        <f>IF('Cash Flow'!$J$76&gt;=0,IF(MAX(('Cash Flow'!$J$74+'Cash Flow'!$J$75),('Cash Flow'!$J$74+'Cash Flow'!$J$75)+'Cash Flow'!$J$76)&lt;=0,MIN(('Cash Flow'!$J$74+'Cash Flow'!$J$75),('Cash Flow'!$J$74+'Cash Flow'!$J$75)+'Cash Flow'!$J$76)-MAX(('Cash Flow'!$J$74+'Cash Flow'!$J$75),('Cash Flow'!$J$74+'Cash Flow'!$J$75)+'Cash Flow'!$J$76),MAX(('Cash Flow'!$J$74+'Cash Flow'!$J$75),('Cash Flow'!$J$74+'Cash Flow'!$J$75)+'Cash Flow'!$J$76)-MIN(('Cash Flow'!$J$74+'Cash Flow'!$J$75),('Cash Flow'!$J$74+'Cash Flow'!$J$75)+'Cash Flow'!$J$76)),"")</f>
        <v>-126679.67999999737</v>
      </c>
      <c r="E210" t="str">
        <f>IF('Cash Flow'!$J$76&lt;0,IF(MAX(('Cash Flow'!$J$74+'Cash Flow'!$J$75),('Cash Flow'!$J$74+'Cash Flow'!$J$75)+'Cash Flow'!$J$76)&lt;=0,MIN(('Cash Flow'!$J$74+'Cash Flow'!$J$75),('Cash Flow'!$J$74+'Cash Flow'!$J$75)+'Cash Flow'!$J$76)-MAX(('Cash Flow'!$J$74+'Cash Flow'!$J$75),('Cash Flow'!$J$74+'Cash Flow'!$J$75)+'Cash Flow'!$J$76),MAX(('Cash Flow'!$J$74+'Cash Flow'!$J$75),('Cash Flow'!$J$74+'Cash Flow'!$J$75)+'Cash Flow'!$J$76)-MIN(('Cash Flow'!$J$74+'Cash Flow'!$J$75),('Cash Flow'!$J$74+'Cash Flow'!$J$75)+'Cash Flow'!$J$76)),"")</f>
        <v/>
      </c>
    </row>
    <row r="211" spans="1:5" x14ac:dyDescent="0.35">
      <c r="A211" s="188" t="s">
        <v>1062</v>
      </c>
      <c r="B211">
        <v>0</v>
      </c>
      <c r="C211">
        <f>'Cash Flow'!$J$78</f>
        <v>-2954504.657457008</v>
      </c>
    </row>
    <row r="212" spans="1:5" x14ac:dyDescent="0.35">
      <c r="A212" s="188"/>
    </row>
    <row r="215" spans="1:5" x14ac:dyDescent="0.35">
      <c r="A215" s="188" t="s">
        <v>1157</v>
      </c>
      <c r="B215" t="s">
        <v>881</v>
      </c>
      <c r="C215" t="s">
        <v>6</v>
      </c>
    </row>
    <row r="216" spans="1:5" x14ac:dyDescent="0.35">
      <c r="A216" s="188" t="s">
        <v>170</v>
      </c>
      <c r="B216">
        <f>'P&amp;L'!$G$33</f>
        <v>24911442.949999999</v>
      </c>
      <c r="C216">
        <f>'P&amp;L'!$F$33</f>
        <v>25694771.976115659</v>
      </c>
    </row>
    <row r="217" spans="1:5" x14ac:dyDescent="0.35">
      <c r="A217" s="188" t="s">
        <v>175</v>
      </c>
      <c r="B217">
        <f>'P&amp;L'!$G$39</f>
        <v>30536909.829999998</v>
      </c>
      <c r="C217">
        <f>'P&amp;L'!$F$39</f>
        <v>31408461.147246901</v>
      </c>
    </row>
    <row r="218" spans="1:5" x14ac:dyDescent="0.35">
      <c r="A218" s="188" t="s">
        <v>1149</v>
      </c>
      <c r="B218">
        <f>'P&amp;L'!$G$41</f>
        <v>-5625466.8799999952</v>
      </c>
      <c r="C218">
        <f>'P&amp;L'!$F$41</f>
        <v>-5713689.1711312355</v>
      </c>
    </row>
    <row r="220" spans="1:5" x14ac:dyDescent="0.35">
      <c r="A220" t="s">
        <v>1150</v>
      </c>
      <c r="B220" t="s">
        <v>275</v>
      </c>
      <c r="C220" t="s">
        <v>277</v>
      </c>
    </row>
    <row r="221" spans="1:5" x14ac:dyDescent="0.35">
      <c r="A221" t="str">
        <f>SUBSTITUTE(SUBSTITUTE(Scenarios!$B$46," multiplier","")," multip","")</f>
        <v>Win rate</v>
      </c>
      <c r="B221">
        <f>Scenarios!$C$46-Scenarios!$D$46</f>
        <v>-0.15000000000000002</v>
      </c>
      <c r="C221">
        <f>Scenarios!$E$46-Scenarios!$D$46</f>
        <v>0.14999999999999991</v>
      </c>
    </row>
    <row r="222" spans="1:5" x14ac:dyDescent="0.35">
      <c r="A222" t="str">
        <f>SUBSTITUTE(SUBSTITUTE(Scenarios!$B$47," multiplier","")," multip","")</f>
        <v>Attainment</v>
      </c>
      <c r="B222">
        <f>Scenarios!$C$47-Scenarios!$D$47</f>
        <v>-0.15000000000000002</v>
      </c>
      <c r="C222">
        <f>Scenarios!$E$47-Scenarios!$D$47</f>
        <v>0.14999999999999991</v>
      </c>
    </row>
    <row r="223" spans="1:5" x14ac:dyDescent="0.35">
      <c r="A223" t="str">
        <f>SUBSTITUTE(SUBSTITUTE(Scenarios!$B$48," multiplier","")," multip","")</f>
        <v>Pipeline creation</v>
      </c>
      <c r="B223">
        <f>Scenarios!$C$48-Scenarios!$D$48</f>
        <v>-0.19999999999999996</v>
      </c>
      <c r="C223">
        <f>Scenarios!$E$48-Scenarios!$D$48</f>
        <v>0.25</v>
      </c>
    </row>
    <row r="224" spans="1:5" x14ac:dyDescent="0.35">
      <c r="A224" t="str">
        <f>SUBSTITUTE(SUBSTITUTE(Scenarios!$B$49," multiplier","")," multip","")</f>
        <v>Retention severity</v>
      </c>
      <c r="B224">
        <f>Scenarios!$C$49-Scenarios!$D$49</f>
        <v>0.19999999999999996</v>
      </c>
      <c r="C224">
        <f>Scenarios!$E$49-Scenarios!$D$49</f>
        <v>-0.15000000000000002</v>
      </c>
    </row>
    <row r="225" spans="1:3" x14ac:dyDescent="0.35">
      <c r="A225" t="str">
        <f>SUBSTITUTE(SUBSTITUTE(Scenarios!$B$50," multiplier","")," multip","")</f>
        <v>Expansion</v>
      </c>
      <c r="B225">
        <f>Scenarios!$C$50-Scenarios!$D$50</f>
        <v>-0.15000000000000002</v>
      </c>
      <c r="C225">
        <f>Scenarios!$E$50-Scenarios!$D$50</f>
        <v>0.19999999999999996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vt:i4>
      </vt:variant>
    </vt:vector>
  </HeadingPairs>
  <TitlesOfParts>
    <vt:vector size="52" baseType="lpstr">
      <vt:lpstr>Data_Forecast</vt:lpstr>
      <vt:lpstr>Model Guide</vt:lpstr>
      <vt:lpstr>Executive Summary</vt:lpstr>
      <vt:lpstr>ARR &amp; Retention</vt:lpstr>
      <vt:lpstr>Scenarios</vt:lpstr>
      <vt:lpstr>Cash Flow</vt:lpstr>
      <vt:lpstr>Budget Bridge</vt:lpstr>
      <vt:lpstr>GTM</vt:lpstr>
      <vt:lpstr>Runway &amp; Hiring</vt:lpstr>
      <vt:lpstr>Forecast</vt:lpstr>
      <vt:lpstr>P&amp;L</vt:lpstr>
      <vt:lpstr>Assumptions</vt:lpstr>
      <vt:lpstr>Forecast Drivers</vt:lpstr>
      <vt:lpstr>Accounting</vt:lpstr>
      <vt:lpstr>Controls</vt:lpstr>
      <vt:lpstr>Data_ARR</vt:lpstr>
      <vt:lpstr>Data_Retention</vt:lpstr>
      <vt:lpstr>Data_GTM</vt:lpstr>
      <vt:lpstr>Data_PnL</vt:lpstr>
      <vt:lpstr>Data_Bridge</vt:lpstr>
      <vt:lpstr>Data_Scenario</vt:lpstr>
      <vt:lpstr>Data_Runway</vt:lpstr>
      <vt:lpstr>Data_Accounting</vt:lpstr>
      <vt:lpstr>Data_Commentary</vt:lpstr>
      <vt:lpstr>Chart_Data</vt:lpstr>
      <vt:lpstr>Accounting!Print_Area</vt:lpstr>
      <vt:lpstr>'ARR &amp; Retention'!Print_Area</vt:lpstr>
      <vt:lpstr>Assumptions!Print_Area</vt:lpstr>
      <vt:lpstr>'Budget Bridge'!Print_Area</vt:lpstr>
      <vt:lpstr>'Cash Flow'!Print_Area</vt:lpstr>
      <vt:lpstr>Controls!Print_Area</vt:lpstr>
      <vt:lpstr>'Executive Summary'!Print_Area</vt:lpstr>
      <vt:lpstr>Forecast!Print_Area</vt:lpstr>
      <vt:lpstr>'Forecast Drivers'!Print_Area</vt:lpstr>
      <vt:lpstr>GTM!Print_Area</vt:lpstr>
      <vt:lpstr>'Model Guide'!Print_Area</vt:lpstr>
      <vt:lpstr>'P&amp;L'!Print_Area</vt:lpstr>
      <vt:lpstr>'Runway &amp; Hiring'!Print_Area</vt:lpstr>
      <vt:lpstr>Scenarios!Print_Area</vt:lpstr>
      <vt:lpstr>Accounting!Print_Titles</vt:lpstr>
      <vt:lpstr>'ARR &amp; Retention'!Print_Titles</vt:lpstr>
      <vt:lpstr>Assumptions!Print_Titles</vt:lpstr>
      <vt:lpstr>'Budget Bridge'!Print_Titles</vt:lpstr>
      <vt:lpstr>'Cash Flow'!Print_Titles</vt:lpstr>
      <vt:lpstr>Controls!Print_Titles</vt:lpstr>
      <vt:lpstr>'Executive Summary'!Print_Titles</vt:lpstr>
      <vt:lpstr>Forecast!Print_Titles</vt:lpstr>
      <vt:lpstr>'Forecast Drivers'!Print_Titles</vt:lpstr>
      <vt:lpstr>GTM!Print_Titles</vt:lpstr>
      <vt:lpstr>'P&amp;L'!Print_Titles</vt:lpstr>
      <vt:lpstr>'Runway &amp; Hiring'!Print_Titles</vt:lpstr>
      <vt:lpstr>Scenarios!Print_Titles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Siddik</dc:creator>
  <cp:lastModifiedBy>Md Siddik</cp:lastModifiedBy>
  <dcterms:created xsi:type="dcterms:W3CDTF">2026-08-27T05:16:43Z</dcterms:created>
  <dcterms:modified xsi:type="dcterms:W3CDTF">2026-09-05T04:36:07Z</dcterms:modified>
</cp:coreProperties>
</file>